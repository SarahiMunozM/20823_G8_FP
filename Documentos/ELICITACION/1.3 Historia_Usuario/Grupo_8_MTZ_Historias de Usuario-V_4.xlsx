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<sst xmlns="http://schemas.openxmlformats.org/spreadsheetml/2006/main" count="144" uniqueCount="103">
  <si>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</si>
  <si>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</si>
  <si>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</si>
  <si>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</si>
  <si>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</si>
  <si>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</si>
  <si>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</si>
  <si>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</si>
  <si>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</si>
  <si>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</si>
  <si>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</si>
  <si>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</si>
  <si>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</si>
  <si>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</si>
  <si>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</si>
  <si>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</si>
  <si>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¿Cómo elijo entre las opciones del programa?</t>
  </si>
  <si>
    <t>El programa deberá presentar un menú de ingreso al sistema y presentar las opciones que ofrece.</t>
  </si>
  <si>
    <t>El usuario puede ver las opciones que el programa ofrece y seleciona segun sea su conveniencia.</t>
  </si>
  <si>
    <t>Sr. Luis Azoguez</t>
  </si>
  <si>
    <t>Permitir que el usuario pueda visualizar las opciones que tiene el programa y que pueda seleccionar sea según su necesidad.</t>
  </si>
  <si>
    <t>Alan Nero</t>
  </si>
  <si>
    <t>2h</t>
  </si>
  <si>
    <t>Alta</t>
  </si>
  <si>
    <t>En proceso</t>
  </si>
  <si>
    <t>Caja negra: Probar si el usuario puede ver y elegir entre las opciones del programa.
Caja blanca: Revisar que el sistema muestre todas las opciones según lo programado.</t>
  </si>
  <si>
    <t>Ingreso del Sistema</t>
  </si>
  <si>
    <t>REQ002</t>
  </si>
  <si>
    <t>¿Cómo ingreso los productos del inventario al programa?</t>
  </si>
  <si>
    <t>El programa deberá ingresar el producto al listado del inventario.</t>
  </si>
  <si>
    <t>Registrar en un listado los productos ofertados en el local.</t>
  </si>
  <si>
    <t>Permitir al usuario ingresar un producto del inventario con información básica: nombre, cantidad y precio.</t>
  </si>
  <si>
    <t>3h</t>
  </si>
  <si>
    <t>2025-07-</t>
  </si>
  <si>
    <t>No iniciado</t>
  </si>
  <si>
    <t>Caja negra: Probar si se puede ingresar un producto y aparece en el listado.
Caja blanca: Verificar que el sistema guarde correctamente los datos del producto.</t>
  </si>
  <si>
    <t>Ingrsesos del listado</t>
  </si>
  <si>
    <t>REQ003</t>
  </si>
  <si>
    <t>¿Cómo eliminar los productos del inventario del programa?</t>
  </si>
  <si>
    <t>El programa deberá eliminar el producto del listado del inventario.</t>
  </si>
  <si>
    <t>Eliminar del listado los productos ofertados en el local.</t>
  </si>
  <si>
    <t>Permitir al usuario eliminar un producto del inventario.</t>
  </si>
  <si>
    <t>Caja negra: Probar si al eliminar un producto este ya no aparece en el inventario.
Caja blanca: Comprobar que el sistema lo borre de la lista guardada</t>
  </si>
  <si>
    <t>Eliminacion de productos</t>
  </si>
  <si>
    <t>REQ004</t>
  </si>
  <si>
    <t>¿Qué productos tengo inventariados en el programa?</t>
  </si>
  <si>
    <t>El programa deberá visualizar un listado en orden alfabético de todos los productos ingresados.</t>
  </si>
  <si>
    <t>Crear un registro de los productos disponibles en el local.</t>
  </si>
  <si>
    <t>Mostrar al usuario una lista con todos los productos existentes en el inventario.</t>
  </si>
  <si>
    <t>Adriana Astudillo</t>
  </si>
  <si>
    <t>6h</t>
  </si>
  <si>
    <t>Caja negra: Ver si al abrir el inventario se muestran todos los productos.
Caja blanca: Verificar que el programa recorra bien todos los productos guardados.</t>
  </si>
  <si>
    <t>Listado de inventario.</t>
  </si>
  <si>
    <t>REQ005</t>
  </si>
  <si>
    <t>¿Tengo esos productos en el inventariado del programa?</t>
  </si>
  <si>
    <t>El programa deberá realizar la búsqueda de los productos por su nombre en el listado.</t>
  </si>
  <si>
    <t>Agilizar la busqueda de los objetos en el inventario</t>
  </si>
  <si>
    <t>Implementar una función que permita buscar rápidamente un producto usando su nombre</t>
  </si>
  <si>
    <t>Sarahi Muñoz</t>
  </si>
  <si>
    <t>Caja negra: Escribir un nombre y comprobar si aparecen los productos que lo contienen.
Caja blanca: Revisar que el sistema compare bien los nombres al buscar.</t>
  </si>
  <si>
    <t>Buscador de productos.</t>
  </si>
  <si>
    <t>REQ006</t>
  </si>
  <si>
    <t>¿Qué productos están por acabarse en el inventario según el programa?</t>
  </si>
  <si>
    <t>El programa deberá presentar las existencias de los productos y alertar de la falta del stock.</t>
  </si>
  <si>
    <t>Identificar los productos con bajas existencias para conocer cuales se deben surtir.</t>
  </si>
  <si>
    <t>Permitir al usuario visualizar el inventario y notifiqué cuando un producto está por debajo del nivel mínimo establecido.</t>
  </si>
  <si>
    <t xml:space="preserve">Alan Nero Adriana Astudillo           </t>
  </si>
  <si>
    <t xml:space="preserve">Media </t>
  </si>
  <si>
    <t>Caja negra: Ver si el sistema avisa cuando un producto tiene poco stock.
Caja blanca: Confirmar que se compruebe el mínimo permitido antes de mostrar la alerta.</t>
  </si>
  <si>
    <t>Reporte de inventario.</t>
  </si>
  <si>
    <t>REQ007</t>
  </si>
  <si>
    <t>¿Cuál es la cantidad existente de ese producto en el inventariado del programa?</t>
  </si>
  <si>
    <t>El programa deberá presentar la cantidad de productos vendidos.</t>
  </si>
  <si>
    <t>Cuantificar la salida de productos del inventario.</t>
  </si>
  <si>
    <t>Guardar un historial de salidas de productos.</t>
  </si>
  <si>
    <t xml:space="preserve"> </t>
  </si>
  <si>
    <t>4h</t>
  </si>
  <si>
    <t>Caja negra: Hacer una salida de producto y verificar que se registre.
Caja blanca: Ver que el sistema agregue esa salida al historial correctamente.</t>
  </si>
  <si>
    <t>Registro de salidad</t>
  </si>
  <si>
    <t>REQ008</t>
  </si>
  <si>
    <t>¿Cuántas ventas se realizaron en el día?</t>
  </si>
  <si>
    <t>El programa deberá dar a conocer el registro de ventas realizado en el día.</t>
  </si>
  <si>
    <t>Conocer las ventas realizadas en montos</t>
  </si>
  <si>
    <t>Permitir conocer al usuario las ventas y la cantidad de dinero en caja.</t>
  </si>
  <si>
    <t>Caja negra: Registrar ventas y comprobar si se muestra el total del día.
Caja blanca: Revisar que el sistema sume bien todas las ventas hechas.</t>
  </si>
  <si>
    <t>Reporte de ventas realizadas.</t>
  </si>
  <si>
    <t>REQ009</t>
  </si>
  <si>
    <t>REQ010</t>
  </si>
  <si>
    <t>REQ011</t>
  </si>
  <si>
    <t>REQ012</t>
  </si>
  <si>
    <t>REQ013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</si>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</sst>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9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  <scheme val="minor"/>
    </font>
    <font>
      <b/>
      <i/>
      <sz val="16.0"/>
      <color theme="1"/>
      <name val="Calibri"/>
    </font>
    <font>
      <b/>
      <i/>
      <sz val="11.0"/>
      <color theme="1"/>
      <name val="Calibri"/>
    </font>
    <font>
      <b/>
      <i/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1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1"/>
    </xf>
    <xf borderId="5" fillId="0" fontId="7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horizontal="center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5" fillId="0" fontId="10" numFmtId="164" xfId="0" applyAlignment="1" applyBorder="1" applyFont="1" applyNumberFormat="1">
      <alignment horizontal="center" shrinkToFit="0" vertical="center" wrapText="1"/>
    </xf>
    <xf borderId="5" fillId="2" fontId="10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shrinkToFit="0" wrapText="1"/>
    </xf>
    <xf borderId="0" fillId="0" fontId="11" numFmtId="0" xfId="0" applyAlignment="1" applyFont="1">
      <alignment horizontal="center"/>
    </xf>
    <xf borderId="5" fillId="0" fontId="10" numFmtId="0" xfId="0" applyAlignment="1" applyBorder="1" applyFont="1">
      <alignment shrinkToFit="0" wrapText="1"/>
    </xf>
    <xf borderId="0" fillId="0" fontId="1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/>
    </xf>
    <xf borderId="6" fillId="3" fontId="13" numFmtId="0" xfId="0" applyAlignment="1" applyBorder="1" applyFill="1" applyFont="1">
      <alignment horizontal="center" shrinkToFit="0" vertical="center" wrapText="1"/>
    </xf>
    <xf borderId="7" fillId="0" fontId="14" numFmtId="0" xfId="0" applyBorder="1" applyFont="1"/>
    <xf borderId="8" fillId="0" fontId="14" numFmtId="0" xfId="0" applyBorder="1" applyFont="1"/>
    <xf borderId="0" fillId="0" fontId="12" numFmtId="0" xfId="0" applyAlignment="1" applyFont="1">
      <alignment horizontal="center" shrinkToFit="0" vertical="center" wrapText="1"/>
    </xf>
    <xf borderId="9" fillId="3" fontId="2" numFmtId="0" xfId="0" applyAlignment="1" applyBorder="1" applyFont="1">
      <alignment horizontal="center"/>
    </xf>
    <xf borderId="10" fillId="3" fontId="12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/>
    </xf>
    <xf borderId="5" fillId="4" fontId="15" numFmtId="0" xfId="0" applyAlignment="1" applyBorder="1" applyFill="1" applyFont="1">
      <alignment horizontal="center" vertical="center"/>
    </xf>
    <xf borderId="13" fillId="3" fontId="16" numFmtId="0" xfId="0" applyAlignment="1" applyBorder="1" applyFont="1">
      <alignment horizontal="center" vertical="center"/>
    </xf>
    <xf borderId="6" fillId="4" fontId="15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center"/>
    </xf>
    <xf borderId="5" fillId="2" fontId="17" numFmtId="0" xfId="0" applyAlignment="1" applyBorder="1" applyFont="1">
      <alignment horizontal="center" readingOrder="0" vertical="center"/>
    </xf>
    <xf borderId="13" fillId="3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13" fillId="3" fontId="17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vertical="center"/>
    </xf>
    <xf borderId="15" fillId="5" fontId="15" numFmtId="0" xfId="0" applyAlignment="1" applyBorder="1" applyFill="1" applyFont="1">
      <alignment horizontal="center" vertical="center"/>
    </xf>
    <xf borderId="16" fillId="2" fontId="1" numFmtId="0" xfId="0" applyAlignment="1" applyBorder="1" applyFont="1">
      <alignment horizontal="center" shrinkToFit="0" vertical="center" wrapText="1"/>
    </xf>
    <xf borderId="17" fillId="0" fontId="14" numFmtId="0" xfId="0" applyBorder="1" applyFont="1"/>
    <xf borderId="18" fillId="0" fontId="14" numFmtId="0" xfId="0" applyBorder="1" applyFont="1"/>
    <xf borderId="19" fillId="0" fontId="14" numFmtId="0" xfId="0" applyBorder="1" applyFont="1"/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23" fillId="0" fontId="14" numFmtId="0" xfId="0" applyBorder="1" applyFont="1"/>
    <xf borderId="24" fillId="0" fontId="14" numFmtId="0" xfId="0" applyBorder="1" applyFont="1"/>
    <xf borderId="25" fillId="0" fontId="14" numFmtId="0" xfId="0" applyBorder="1" applyFont="1"/>
    <xf borderId="16" fillId="6" fontId="18" numFmtId="0" xfId="0" applyAlignment="1" applyBorder="1" applyFill="1" applyFont="1">
      <alignment horizontal="center" vertical="center"/>
    </xf>
    <xf borderId="26" fillId="7" fontId="17" numFmtId="0" xfId="0" applyAlignment="1" applyBorder="1" applyFill="1" applyFont="1">
      <alignment horizontal="center" shrinkToFit="0" vertical="center" wrapText="1"/>
    </xf>
    <xf borderId="27" fillId="0" fontId="14" numFmtId="0" xfId="0" applyBorder="1" applyFont="1"/>
    <xf borderId="28" fillId="0" fontId="14" numFmtId="0" xfId="0" applyBorder="1" applyFont="1"/>
    <xf borderId="29" fillId="0" fontId="14" numFmtId="0" xfId="0" applyBorder="1" applyFont="1"/>
    <xf borderId="30" fillId="0" fontId="14" numFmtId="0" xfId="0" applyBorder="1" applyFont="1"/>
    <xf borderId="31" fillId="0" fontId="14" numFmtId="0" xfId="0" applyBorder="1" applyFont="1"/>
    <xf borderId="16" fillId="4" fontId="15" numFmtId="0" xfId="0" applyAlignment="1" applyBorder="1" applyFont="1">
      <alignment horizontal="center" vertical="center"/>
    </xf>
    <xf borderId="16" fillId="2" fontId="1" numFmtId="164" xfId="0" applyAlignment="1" applyBorder="1" applyFont="1" applyNumberFormat="1">
      <alignment horizontal="center" shrinkToFit="0" vertical="center" wrapText="1"/>
    </xf>
    <xf borderId="32" fillId="3" fontId="2" numFmtId="0" xfId="0" applyAlignment="1" applyBorder="1" applyFont="1">
      <alignment horizontal="center"/>
    </xf>
    <xf borderId="33" fillId="3" fontId="2" numFmtId="0" xfId="0" applyAlignment="1" applyBorder="1" applyFont="1">
      <alignment horizontal="center"/>
    </xf>
    <xf borderId="34" fillId="3" fontId="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Formato descripción H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8</xdr:row>
      <xdr:rowOff>219075</xdr:rowOff>
    </xdr:from>
    <xdr:ext cx="1181100" cy="1181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5:O18" displayName="Tabla_1" name="Tabla_1" id="1">
  <tableColumns count="14">
    <tableColumn name="ITEM" id="1"/>
    <tableColumn name="PROBLEMA" id="2"/>
    <tableColumn name="QUE _x000a_(NECESIDAD)" id="3"/>
    <tableColumn name="PARA QUE _x000a_(SOLUCIÓN)" id="4"/>
    <tableColumn name="PARA QUIEN (USUARIO)" id="5"/>
    <tableColumn name="COMO_x000a_ (DESCRIPCIÓN DE TAREAS)" id="6"/>
    <tableColumn name="HECHO POR  (PROG. RESP.)" id="7"/>
    <tableColumn name="CUANTO TIEMPO (ESTIMADO EN HRS)" id="8"/>
    <tableColumn name="FECHA DE ENTREGA" id="9"/>
    <tableColumn name="PRIORIDAD" id="10"/>
    <tableColumn name="STATUS" id="11"/>
    <tableColumn name="PRUEBA _x000a_(COMO SE VERIFICA)" id="12"/>
    <tableColumn name="COMENTARIOS" id="13"/>
    <tableColumn name="NOMBRE DE HISTORIA " id="14"/>
  </tableColumns>
  <tableStyleInfo name="Formato descripción 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0.88"/>
    <col customWidth="1" min="3" max="5" width="20.63"/>
    <col customWidth="1" min="6" max="6" width="15.38"/>
    <col customWidth="1" min="7" max="7" width="32.5"/>
    <col customWidth="1" min="8" max="8" width="15.13"/>
    <col customWidth="1" min="9" max="9" width="14.63"/>
    <col customWidth="1" min="10" max="10" width="14.38"/>
    <col customWidth="1" min="11" max="11" width="14.0"/>
    <col customWidth="1" min="12" max="12" width="13.38"/>
    <col customWidth="1" min="13" max="13" width="32.5"/>
    <col customWidth="1" min="14" max="15" width="20.63"/>
    <col customWidth="1" min="16" max="26" width="9.38"/>
  </cols>
  <sheetData>
    <row r="1">
      <c r="I1" s="1"/>
      <c r="J1" s="1"/>
      <c r="K1" s="2"/>
      <c r="L1" s="3"/>
      <c r="M1" s="4"/>
    </row>
    <row r="2">
      <c r="I2" s="1"/>
      <c r="J2" s="1"/>
      <c r="K2" s="2"/>
      <c r="L2" s="3"/>
      <c r="M2" s="4"/>
    </row>
    <row r="3" ht="45.0" customHeight="1">
      <c r="B3" s="5" t="s">
        <v>0</v>
      </c>
    </row>
    <row r="4">
      <c r="H4" s="6"/>
      <c r="I4" s="1"/>
      <c r="J4" s="1"/>
      <c r="K4" s="2"/>
      <c r="L4" s="3"/>
      <c r="M4" s="4"/>
    </row>
    <row r="5" ht="51.75" customHeight="1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8" t="s">
        <v>13</v>
      </c>
      <c r="O5" s="10" t="s">
        <v>14</v>
      </c>
    </row>
    <row r="6" ht="108.0" customHeight="1">
      <c r="B6" s="11" t="s">
        <v>15</v>
      </c>
      <c r="C6" s="12" t="s">
        <v>16</v>
      </c>
      <c r="D6" s="12" t="s">
        <v>17</v>
      </c>
      <c r="E6" s="12" t="s">
        <v>18</v>
      </c>
      <c r="F6" s="11" t="s">
        <v>19</v>
      </c>
      <c r="G6" s="12" t="s">
        <v>20</v>
      </c>
      <c r="H6" s="11" t="s">
        <v>21</v>
      </c>
      <c r="I6" s="12" t="s">
        <v>22</v>
      </c>
      <c r="J6" s="13">
        <v>45849.0</v>
      </c>
      <c r="K6" s="14" t="s">
        <v>23</v>
      </c>
      <c r="L6" s="14" t="s">
        <v>24</v>
      </c>
      <c r="M6" s="15" t="s">
        <v>25</v>
      </c>
      <c r="N6" s="16"/>
      <c r="O6" s="12" t="s">
        <v>26</v>
      </c>
    </row>
    <row r="7" ht="95.25" customHeight="1">
      <c r="B7" s="17" t="s">
        <v>27</v>
      </c>
      <c r="C7" s="12" t="s">
        <v>28</v>
      </c>
      <c r="D7" s="12" t="s">
        <v>29</v>
      </c>
      <c r="E7" s="12" t="s">
        <v>30</v>
      </c>
      <c r="F7" s="11" t="s">
        <v>19</v>
      </c>
      <c r="G7" s="12" t="s">
        <v>31</v>
      </c>
      <c r="H7" s="11" t="s">
        <v>21</v>
      </c>
      <c r="I7" s="12" t="s">
        <v>32</v>
      </c>
      <c r="J7" s="12" t="s">
        <v>33</v>
      </c>
      <c r="K7" s="18" t="s">
        <v>23</v>
      </c>
      <c r="L7" s="14" t="s">
        <v>34</v>
      </c>
      <c r="M7" s="15" t="s">
        <v>35</v>
      </c>
      <c r="N7" s="16"/>
      <c r="O7" s="12" t="s">
        <v>36</v>
      </c>
    </row>
    <row r="8" ht="78.75" customHeight="1">
      <c r="B8" s="17" t="s">
        <v>37</v>
      </c>
      <c r="C8" s="12" t="s">
        <v>38</v>
      </c>
      <c r="D8" s="12" t="s">
        <v>39</v>
      </c>
      <c r="E8" s="12" t="s">
        <v>40</v>
      </c>
      <c r="F8" s="11" t="s">
        <v>19</v>
      </c>
      <c r="G8" s="12" t="s">
        <v>41</v>
      </c>
      <c r="H8" s="11" t="s">
        <v>21</v>
      </c>
      <c r="I8" s="12" t="s">
        <v>22</v>
      </c>
      <c r="J8" s="12" t="s">
        <v>33</v>
      </c>
      <c r="K8" s="18" t="s">
        <v>23</v>
      </c>
      <c r="L8" s="14" t="s">
        <v>34</v>
      </c>
      <c r="M8" s="15" t="s">
        <v>42</v>
      </c>
      <c r="N8" s="16"/>
      <c r="O8" s="12" t="s">
        <v>43</v>
      </c>
    </row>
    <row r="9" ht="80.25" customHeight="1">
      <c r="B9" s="17" t="s">
        <v>44</v>
      </c>
      <c r="C9" s="12" t="s">
        <v>45</v>
      </c>
      <c r="D9" s="12" t="s">
        <v>46</v>
      </c>
      <c r="E9" s="11" t="s">
        <v>47</v>
      </c>
      <c r="F9" s="11" t="s">
        <v>19</v>
      </c>
      <c r="G9" s="19" t="s">
        <v>48</v>
      </c>
      <c r="H9" s="11" t="s">
        <v>49</v>
      </c>
      <c r="I9" s="12" t="s">
        <v>50</v>
      </c>
      <c r="J9" s="12" t="s">
        <v>33</v>
      </c>
      <c r="K9" s="18" t="s">
        <v>23</v>
      </c>
      <c r="L9" s="14" t="s">
        <v>34</v>
      </c>
      <c r="M9" s="15" t="s">
        <v>51</v>
      </c>
      <c r="N9" s="11"/>
      <c r="O9" s="12" t="s">
        <v>52</v>
      </c>
    </row>
    <row r="10" ht="81.75" customHeight="1">
      <c r="B10" s="17" t="s">
        <v>53</v>
      </c>
      <c r="C10" s="12" t="s">
        <v>54</v>
      </c>
      <c r="D10" s="12" t="s">
        <v>55</v>
      </c>
      <c r="E10" s="12" t="s">
        <v>56</v>
      </c>
      <c r="F10" s="11" t="s">
        <v>19</v>
      </c>
      <c r="G10" s="11" t="s">
        <v>57</v>
      </c>
      <c r="H10" s="11" t="s">
        <v>58</v>
      </c>
      <c r="I10" s="12" t="s">
        <v>50</v>
      </c>
      <c r="J10" s="12" t="s">
        <v>33</v>
      </c>
      <c r="K10" s="18" t="s">
        <v>23</v>
      </c>
      <c r="L10" s="18" t="s">
        <v>34</v>
      </c>
      <c r="M10" s="15" t="s">
        <v>59</v>
      </c>
      <c r="N10" s="11"/>
      <c r="O10" s="12" t="s">
        <v>60</v>
      </c>
    </row>
    <row r="11" ht="95.25" customHeight="1">
      <c r="A11" s="20"/>
      <c r="B11" s="17" t="s">
        <v>61</v>
      </c>
      <c r="C11" s="12" t="s">
        <v>62</v>
      </c>
      <c r="D11" s="12" t="s">
        <v>63</v>
      </c>
      <c r="E11" s="11" t="s">
        <v>64</v>
      </c>
      <c r="F11" s="11" t="s">
        <v>19</v>
      </c>
      <c r="G11" s="12" t="s">
        <v>65</v>
      </c>
      <c r="H11" s="11" t="s">
        <v>66</v>
      </c>
      <c r="I11" s="12" t="s">
        <v>50</v>
      </c>
      <c r="J11" s="12" t="s">
        <v>33</v>
      </c>
      <c r="K11" s="18" t="s">
        <v>67</v>
      </c>
      <c r="L11" s="18" t="s">
        <v>34</v>
      </c>
      <c r="M11" s="15" t="s">
        <v>68</v>
      </c>
      <c r="N11" s="17"/>
      <c r="O11" s="12" t="s">
        <v>69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79.5" customHeight="1">
      <c r="B12" s="17" t="s">
        <v>70</v>
      </c>
      <c r="C12" s="12" t="s">
        <v>71</v>
      </c>
      <c r="D12" s="12" t="s">
        <v>72</v>
      </c>
      <c r="E12" s="11" t="s">
        <v>73</v>
      </c>
      <c r="F12" s="11" t="s">
        <v>19</v>
      </c>
      <c r="G12" s="11" t="s">
        <v>74</v>
      </c>
      <c r="H12" s="12" t="s">
        <v>75</v>
      </c>
      <c r="I12" s="12" t="s">
        <v>76</v>
      </c>
      <c r="J12" s="12" t="s">
        <v>33</v>
      </c>
      <c r="K12" s="18" t="s">
        <v>67</v>
      </c>
      <c r="L12" s="18" t="s">
        <v>34</v>
      </c>
      <c r="M12" s="15" t="s">
        <v>77</v>
      </c>
      <c r="N12" s="11"/>
      <c r="O12" s="12" t="s">
        <v>78</v>
      </c>
    </row>
    <row r="13" ht="75.0" customHeight="1">
      <c r="B13" s="17" t="s">
        <v>79</v>
      </c>
      <c r="C13" s="12" t="s">
        <v>80</v>
      </c>
      <c r="D13" s="12" t="s">
        <v>81</v>
      </c>
      <c r="E13" s="12" t="s">
        <v>82</v>
      </c>
      <c r="F13" s="11" t="s">
        <v>19</v>
      </c>
      <c r="G13" s="12" t="s">
        <v>83</v>
      </c>
      <c r="H13" s="12" t="s">
        <v>49</v>
      </c>
      <c r="I13" s="12" t="s">
        <v>32</v>
      </c>
      <c r="J13" s="12" t="s">
        <v>33</v>
      </c>
      <c r="K13" s="14" t="s">
        <v>67</v>
      </c>
      <c r="L13" s="14" t="s">
        <v>34</v>
      </c>
      <c r="M13" s="15" t="s">
        <v>84</v>
      </c>
      <c r="N13" s="11"/>
      <c r="O13" s="12" t="s">
        <v>85</v>
      </c>
    </row>
    <row r="14" ht="155.25" customHeight="1">
      <c r="B14" s="17" t="s">
        <v>86</v>
      </c>
      <c r="C14" s="11"/>
      <c r="D14" s="11"/>
      <c r="E14" s="11"/>
      <c r="F14" s="11"/>
      <c r="G14" s="11"/>
      <c r="H14" s="11"/>
      <c r="I14" s="11"/>
      <c r="J14" s="16"/>
      <c r="K14" s="21"/>
      <c r="L14" s="21"/>
      <c r="M14" s="22"/>
      <c r="N14" s="11"/>
      <c r="O14" s="11"/>
    </row>
    <row r="15" ht="120.0" customHeight="1">
      <c r="B15" s="17" t="s">
        <v>87</v>
      </c>
      <c r="C15" s="11"/>
      <c r="D15" s="11"/>
      <c r="E15" s="11"/>
      <c r="F15" s="11"/>
      <c r="G15" s="11"/>
      <c r="H15" s="11"/>
      <c r="I15" s="11"/>
      <c r="J15" s="16"/>
      <c r="K15" s="21"/>
      <c r="L15" s="21"/>
      <c r="M15" s="11"/>
      <c r="N15" s="11"/>
      <c r="O15" s="11"/>
    </row>
    <row r="16" ht="124.5" customHeight="1">
      <c r="B16" s="17" t="s">
        <v>88</v>
      </c>
      <c r="C16" s="11"/>
      <c r="D16" s="11"/>
      <c r="E16" s="11"/>
      <c r="F16" s="11"/>
      <c r="G16" s="12"/>
      <c r="H16" s="11"/>
      <c r="I16" s="11"/>
      <c r="J16" s="16"/>
      <c r="K16" s="21"/>
      <c r="L16" s="21"/>
      <c r="M16" s="11"/>
      <c r="N16" s="16"/>
      <c r="O16" s="11"/>
    </row>
    <row r="17" ht="117.75" customHeight="1">
      <c r="B17" s="17" t="s">
        <v>89</v>
      </c>
      <c r="C17" s="11"/>
      <c r="D17" s="11"/>
      <c r="E17" s="11"/>
      <c r="F17" s="11"/>
      <c r="G17" s="11"/>
      <c r="H17" s="11"/>
      <c r="I17" s="11"/>
      <c r="J17" s="16"/>
      <c r="K17" s="21"/>
      <c r="L17" s="21"/>
      <c r="M17" s="11"/>
      <c r="N17" s="16"/>
      <c r="O17" s="11"/>
    </row>
    <row r="18" ht="115.5" customHeight="1">
      <c r="B18" s="17" t="s">
        <v>90</v>
      </c>
      <c r="C18" s="11"/>
      <c r="D18" s="11"/>
      <c r="E18" s="11"/>
      <c r="F18" s="11"/>
      <c r="G18" s="11"/>
      <c r="H18" s="11"/>
      <c r="I18" s="11"/>
      <c r="J18" s="16"/>
      <c r="K18" s="21"/>
      <c r="L18" s="21"/>
      <c r="M18" s="11"/>
      <c r="N18" s="16"/>
      <c r="O18" s="11"/>
    </row>
    <row r="19" ht="122.25" customHeight="1">
      <c r="B19" s="23"/>
      <c r="C19" s="18"/>
      <c r="D19" s="18"/>
      <c r="E19" s="18"/>
      <c r="F19" s="18"/>
      <c r="G19" s="18"/>
      <c r="H19" s="18"/>
      <c r="I19" s="18"/>
      <c r="J19" s="24"/>
      <c r="K19" s="18"/>
      <c r="L19" s="18"/>
      <c r="M19" s="18"/>
      <c r="N19" s="24"/>
      <c r="O19" s="18"/>
    </row>
    <row r="20" ht="127.5" customHeight="1">
      <c r="B20" s="25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6"/>
      <c r="N20" s="27"/>
      <c r="O20" s="26"/>
    </row>
    <row r="21" ht="118.5" customHeight="1">
      <c r="B21" s="25"/>
      <c r="C21" s="26"/>
      <c r="D21" s="26"/>
      <c r="E21" s="26"/>
      <c r="F21" s="26"/>
      <c r="G21" s="26"/>
      <c r="H21" s="26"/>
      <c r="I21" s="26"/>
      <c r="J21" s="27"/>
      <c r="K21" s="26"/>
      <c r="L21" s="26"/>
      <c r="M21" s="26"/>
      <c r="N21" s="27"/>
      <c r="O21" s="26"/>
    </row>
    <row r="22" ht="109.5" customHeight="1">
      <c r="B22" s="25"/>
      <c r="C22" s="26"/>
      <c r="D22" s="26"/>
      <c r="E22" s="26"/>
      <c r="F22" s="26"/>
      <c r="G22" s="26"/>
      <c r="H22" s="26"/>
      <c r="I22" s="26"/>
      <c r="J22" s="27"/>
      <c r="K22" s="26"/>
      <c r="L22" s="26"/>
      <c r="M22" s="26"/>
      <c r="N22" s="27"/>
      <c r="O22" s="26"/>
    </row>
    <row r="23" ht="114.0" customHeight="1">
      <c r="B23" s="25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7"/>
      <c r="N23" s="27"/>
      <c r="O23" s="26"/>
    </row>
    <row r="24" ht="101.25" customHeight="1">
      <c r="B24" s="25"/>
      <c r="C24" s="26"/>
      <c r="D24" s="26"/>
      <c r="E24" s="26"/>
      <c r="F24" s="26"/>
      <c r="G24" s="26"/>
      <c r="H24" s="26"/>
      <c r="I24" s="26"/>
      <c r="J24" s="27"/>
      <c r="K24" s="26"/>
      <c r="L24" s="26"/>
      <c r="M24" s="27"/>
      <c r="N24" s="27"/>
      <c r="O24" s="26"/>
    </row>
    <row r="25" ht="75.0" customHeight="1">
      <c r="B25" s="28"/>
      <c r="C25" s="26"/>
      <c r="D25" s="26"/>
      <c r="E25" s="26"/>
      <c r="F25" s="26"/>
      <c r="G25" s="26"/>
      <c r="H25" s="26"/>
      <c r="I25" s="26"/>
      <c r="J25" s="27"/>
      <c r="K25" s="26"/>
      <c r="L25" s="26"/>
      <c r="M25" s="27"/>
      <c r="N25" s="27"/>
      <c r="O25" s="27"/>
    </row>
    <row r="26" ht="19.5" customHeight="1">
      <c r="I26" s="1"/>
      <c r="J26" s="1"/>
      <c r="K26" s="2"/>
      <c r="L26" s="3"/>
      <c r="M26" s="29"/>
    </row>
    <row r="27" ht="19.5" customHeight="1">
      <c r="I27" s="1"/>
      <c r="J27" s="1"/>
      <c r="K27" s="30"/>
      <c r="L27" s="3"/>
      <c r="M27" s="29"/>
    </row>
    <row r="28" ht="19.5" customHeight="1">
      <c r="I28" s="1"/>
      <c r="J28" s="1"/>
      <c r="K28" s="30"/>
      <c r="L28" s="3"/>
      <c r="M28" s="29"/>
    </row>
    <row r="29" ht="19.5" customHeight="1">
      <c r="I29" s="1"/>
      <c r="J29" s="1"/>
      <c r="K29" s="2"/>
      <c r="L29" s="3"/>
      <c r="M29" s="29"/>
    </row>
    <row r="30" ht="19.5" customHeight="1">
      <c r="I30" s="1"/>
      <c r="J30" s="1"/>
      <c r="K30" s="2"/>
      <c r="L30" s="3"/>
      <c r="M30" s="29"/>
    </row>
    <row r="31" ht="19.5" customHeight="1">
      <c r="I31" s="1"/>
      <c r="J31" s="1"/>
      <c r="K31" s="2"/>
      <c r="L31" s="3"/>
      <c r="M31" s="29"/>
    </row>
    <row r="32" ht="19.5" customHeight="1">
      <c r="I32" s="1"/>
      <c r="J32" s="1"/>
      <c r="K32" s="2" t="s">
        <v>23</v>
      </c>
      <c r="L32" s="1" t="s">
        <v>34</v>
      </c>
      <c r="M32" s="31"/>
    </row>
    <row r="33" ht="19.5" customHeight="1">
      <c r="I33" s="1"/>
      <c r="J33" s="1"/>
      <c r="K33" s="2" t="s">
        <v>67</v>
      </c>
      <c r="L33" s="1" t="s">
        <v>24</v>
      </c>
      <c r="M33" s="31"/>
    </row>
    <row r="34" ht="19.5" customHeight="1">
      <c r="I34" s="1"/>
      <c r="J34" s="1"/>
      <c r="K34" s="2" t="s">
        <v>91</v>
      </c>
      <c r="L34" s="1" t="s">
        <v>92</v>
      </c>
      <c r="M34" s="31"/>
    </row>
    <row r="35" ht="19.5" customHeight="1">
      <c r="I35" s="1"/>
      <c r="J35" s="1"/>
      <c r="K35" s="2"/>
      <c r="L35" s="1" t="s">
        <v>93</v>
      </c>
      <c r="M35" s="31"/>
    </row>
    <row r="36" ht="19.5" customHeight="1">
      <c r="I36" s="1"/>
      <c r="J36" s="1"/>
      <c r="K36" s="2"/>
      <c r="L36" s="3"/>
      <c r="M36" s="29"/>
    </row>
    <row r="37" ht="19.5" customHeight="1">
      <c r="I37" s="1"/>
      <c r="J37" s="1"/>
      <c r="K37" s="2"/>
      <c r="L37" s="3"/>
      <c r="M37" s="29"/>
    </row>
    <row r="38" ht="15.75" customHeight="1">
      <c r="I38" s="1"/>
      <c r="J38" s="1"/>
      <c r="K38" s="2"/>
      <c r="L38" s="3"/>
      <c r="M38" s="29"/>
    </row>
    <row r="39" ht="15.75" customHeight="1">
      <c r="I39" s="1"/>
      <c r="J39" s="1"/>
      <c r="K39" s="2"/>
      <c r="L39" s="3"/>
      <c r="M39" s="29"/>
    </row>
    <row r="40" ht="15.75" customHeight="1">
      <c r="I40" s="1"/>
      <c r="J40" s="1"/>
      <c r="K40" s="2"/>
      <c r="L40" s="3"/>
      <c r="M40" s="29"/>
    </row>
    <row r="41" ht="15.75" customHeight="1">
      <c r="I41" s="1"/>
      <c r="J41" s="1"/>
      <c r="K41" s="2"/>
      <c r="L41" s="3"/>
      <c r="M41" s="29"/>
    </row>
    <row r="42" ht="15.75" customHeight="1">
      <c r="I42" s="1"/>
      <c r="J42" s="1"/>
      <c r="K42" s="2"/>
      <c r="L42" s="3"/>
      <c r="M42" s="29"/>
    </row>
    <row r="43" ht="15.75" customHeight="1">
      <c r="I43" s="1"/>
      <c r="J43" s="1"/>
      <c r="K43" s="2"/>
      <c r="L43" s="3"/>
      <c r="M43" s="29"/>
    </row>
    <row r="44" ht="15.75" customHeight="1">
      <c r="I44" s="1"/>
      <c r="J44" s="1"/>
      <c r="K44" s="2"/>
      <c r="L44" s="3"/>
      <c r="M44" s="29"/>
    </row>
    <row r="45" ht="15.75" customHeight="1">
      <c r="I45" s="1"/>
      <c r="J45" s="1"/>
      <c r="K45" s="2"/>
      <c r="L45" s="3"/>
      <c r="M45" s="29"/>
    </row>
    <row r="46" ht="15.75" customHeight="1">
      <c r="I46" s="1"/>
      <c r="J46" s="1"/>
      <c r="K46" s="2"/>
      <c r="L46" s="3"/>
      <c r="M46" s="29"/>
    </row>
    <row r="47" ht="15.75" customHeight="1">
      <c r="I47" s="1"/>
      <c r="J47" s="1"/>
      <c r="K47" s="2"/>
      <c r="L47" s="3"/>
      <c r="M47" s="29"/>
    </row>
    <row r="48" ht="15.75" customHeight="1">
      <c r="I48" s="1"/>
      <c r="J48" s="1"/>
      <c r="K48" s="2"/>
      <c r="L48" s="3"/>
      <c r="M48" s="29"/>
    </row>
    <row r="49" ht="15.75" customHeight="1">
      <c r="I49" s="1"/>
      <c r="J49" s="1"/>
      <c r="K49" s="2"/>
      <c r="L49" s="3"/>
      <c r="M49" s="29"/>
    </row>
    <row r="50" ht="15.75" customHeight="1">
      <c r="I50" s="1"/>
      <c r="J50" s="1"/>
      <c r="K50" s="2"/>
      <c r="L50" s="3"/>
      <c r="M50" s="29"/>
    </row>
    <row r="51" ht="15.75" customHeight="1">
      <c r="I51" s="1"/>
      <c r="J51" s="1"/>
      <c r="K51" s="2"/>
      <c r="L51" s="3"/>
      <c r="M51" s="29"/>
    </row>
    <row r="52" ht="15.75" customHeight="1">
      <c r="I52" s="1"/>
      <c r="J52" s="1"/>
      <c r="K52" s="2"/>
      <c r="L52" s="3"/>
      <c r="M52" s="29"/>
    </row>
    <row r="53" ht="15.75" customHeight="1">
      <c r="I53" s="1"/>
      <c r="J53" s="1"/>
      <c r="K53" s="2"/>
      <c r="L53" s="3"/>
      <c r="M53" s="29"/>
    </row>
    <row r="54" ht="15.75" customHeight="1">
      <c r="I54" s="1"/>
      <c r="J54" s="1"/>
      <c r="K54" s="2"/>
      <c r="L54" s="3"/>
      <c r="M54" s="29"/>
    </row>
    <row r="55" ht="15.75" customHeight="1">
      <c r="I55" s="1"/>
      <c r="J55" s="1"/>
      <c r="K55" s="2"/>
      <c r="L55" s="3"/>
      <c r="M55" s="29"/>
    </row>
    <row r="56" ht="15.75" customHeight="1">
      <c r="I56" s="1"/>
      <c r="J56" s="1"/>
      <c r="K56" s="2"/>
      <c r="L56" s="3"/>
      <c r="M56" s="29"/>
    </row>
    <row r="57" ht="15.75" customHeight="1">
      <c r="I57" s="1"/>
      <c r="J57" s="1"/>
      <c r="K57" s="2"/>
      <c r="L57" s="3"/>
      <c r="M57" s="29"/>
    </row>
    <row r="58" ht="15.75" customHeight="1">
      <c r="I58" s="1"/>
      <c r="J58" s="1"/>
      <c r="K58" s="2"/>
      <c r="L58" s="3"/>
      <c r="M58" s="29"/>
    </row>
    <row r="59" ht="15.75" customHeight="1">
      <c r="I59" s="1"/>
      <c r="J59" s="1"/>
      <c r="K59" s="2"/>
      <c r="L59" s="3"/>
      <c r="M59" s="29"/>
    </row>
    <row r="60" ht="15.75" customHeight="1">
      <c r="I60" s="1"/>
      <c r="J60" s="1"/>
      <c r="K60" s="2"/>
      <c r="L60" s="3"/>
      <c r="M60" s="29"/>
    </row>
    <row r="61" ht="15.75" customHeight="1">
      <c r="I61" s="1"/>
      <c r="J61" s="1"/>
      <c r="K61" s="2"/>
      <c r="L61" s="3"/>
      <c r="M61" s="29"/>
    </row>
    <row r="62" ht="15.75" customHeight="1">
      <c r="I62" s="1"/>
      <c r="J62" s="1"/>
      <c r="K62" s="2"/>
      <c r="L62" s="3"/>
      <c r="M62" s="29"/>
    </row>
    <row r="63" ht="15.75" customHeight="1">
      <c r="I63" s="1"/>
      <c r="J63" s="1"/>
      <c r="K63" s="2"/>
      <c r="L63" s="3"/>
      <c r="M63" s="29"/>
    </row>
    <row r="64" ht="15.75" customHeight="1">
      <c r="I64" s="1"/>
      <c r="J64" s="1"/>
      <c r="K64" s="2"/>
      <c r="L64" s="3"/>
      <c r="M64" s="29"/>
    </row>
    <row r="65" ht="15.75" customHeight="1">
      <c r="I65" s="1"/>
      <c r="J65" s="1"/>
      <c r="K65" s="2"/>
      <c r="L65" s="3"/>
      <c r="M65" s="29"/>
    </row>
    <row r="66" ht="15.75" customHeight="1">
      <c r="I66" s="1"/>
      <c r="J66" s="1"/>
      <c r="K66" s="2"/>
      <c r="L66" s="3"/>
      <c r="M66" s="29"/>
    </row>
    <row r="67" ht="15.75" customHeight="1">
      <c r="I67" s="1"/>
      <c r="J67" s="1"/>
      <c r="K67" s="2"/>
      <c r="L67" s="3"/>
      <c r="M67" s="29"/>
    </row>
    <row r="68" ht="15.75" customHeight="1">
      <c r="I68" s="1"/>
      <c r="J68" s="1"/>
      <c r="K68" s="2"/>
      <c r="L68" s="3"/>
      <c r="M68" s="29"/>
    </row>
    <row r="69" ht="15.75" customHeight="1">
      <c r="I69" s="1"/>
      <c r="J69" s="1"/>
      <c r="K69" s="2"/>
      <c r="L69" s="3"/>
      <c r="M69" s="29"/>
    </row>
    <row r="70" ht="15.75" customHeight="1">
      <c r="I70" s="1"/>
      <c r="J70" s="1"/>
      <c r="K70" s="2"/>
      <c r="L70" s="3"/>
      <c r="M70" s="29"/>
    </row>
    <row r="71" ht="15.75" customHeight="1">
      <c r="I71" s="1"/>
      <c r="J71" s="1"/>
      <c r="K71" s="2"/>
      <c r="L71" s="3"/>
      <c r="M71" s="29"/>
    </row>
    <row r="72" ht="15.75" customHeight="1">
      <c r="I72" s="1"/>
      <c r="J72" s="1"/>
      <c r="K72" s="2"/>
      <c r="L72" s="3"/>
      <c r="M72" s="29"/>
    </row>
    <row r="73" ht="15.75" customHeight="1">
      <c r="I73" s="1"/>
      <c r="J73" s="1"/>
      <c r="K73" s="2"/>
      <c r="L73" s="3"/>
      <c r="M73" s="29"/>
    </row>
    <row r="74" ht="15.75" customHeight="1">
      <c r="I74" s="1"/>
      <c r="J74" s="1"/>
      <c r="K74" s="2"/>
      <c r="L74" s="3"/>
      <c r="M74" s="29"/>
    </row>
    <row r="75" ht="15.75" customHeight="1">
      <c r="I75" s="1"/>
      <c r="J75" s="1"/>
      <c r="K75" s="2"/>
      <c r="L75" s="3"/>
      <c r="M75" s="29"/>
    </row>
    <row r="76" ht="15.75" customHeight="1">
      <c r="I76" s="1"/>
      <c r="J76" s="1"/>
      <c r="K76" s="2"/>
      <c r="L76" s="3"/>
      <c r="M76" s="29"/>
    </row>
    <row r="77" ht="15.75" customHeight="1">
      <c r="I77" s="1"/>
      <c r="J77" s="1"/>
      <c r="K77" s="2"/>
      <c r="L77" s="3"/>
      <c r="M77" s="29"/>
    </row>
    <row r="78" ht="15.75" customHeight="1">
      <c r="I78" s="1"/>
      <c r="J78" s="1"/>
      <c r="K78" s="2"/>
      <c r="L78" s="3"/>
      <c r="M78" s="29"/>
    </row>
    <row r="79" ht="15.75" customHeight="1">
      <c r="I79" s="1"/>
      <c r="J79" s="1"/>
      <c r="K79" s="2"/>
      <c r="L79" s="3"/>
      <c r="M79" s="29"/>
    </row>
    <row r="80" ht="15.75" customHeight="1">
      <c r="I80" s="1"/>
      <c r="J80" s="1"/>
      <c r="K80" s="2"/>
      <c r="L80" s="3"/>
      <c r="M80" s="29"/>
    </row>
    <row r="81" ht="15.75" customHeight="1">
      <c r="I81" s="1"/>
      <c r="J81" s="1"/>
      <c r="K81" s="2"/>
      <c r="L81" s="3"/>
      <c r="M81" s="29"/>
    </row>
    <row r="82" ht="15.75" customHeight="1">
      <c r="I82" s="1"/>
      <c r="J82" s="1"/>
      <c r="K82" s="2"/>
      <c r="L82" s="3"/>
      <c r="M82" s="29"/>
    </row>
    <row r="83" ht="15.75" customHeight="1">
      <c r="I83" s="1"/>
      <c r="J83" s="1"/>
      <c r="K83" s="2"/>
      <c r="L83" s="3"/>
      <c r="M83" s="29"/>
    </row>
    <row r="84" ht="15.75" customHeight="1">
      <c r="I84" s="1"/>
      <c r="J84" s="1"/>
      <c r="K84" s="2"/>
      <c r="L84" s="3"/>
      <c r="M84" s="29"/>
    </row>
    <row r="85" ht="15.75" customHeight="1">
      <c r="I85" s="1"/>
      <c r="J85" s="1"/>
      <c r="K85" s="2"/>
      <c r="L85" s="3"/>
      <c r="M85" s="29"/>
    </row>
    <row r="86" ht="15.75" customHeight="1">
      <c r="I86" s="1"/>
      <c r="J86" s="1"/>
      <c r="K86" s="2"/>
      <c r="L86" s="3"/>
      <c r="M86" s="29"/>
    </row>
    <row r="87" ht="15.75" customHeight="1">
      <c r="I87" s="1"/>
      <c r="J87" s="1"/>
      <c r="K87" s="2"/>
      <c r="L87" s="3"/>
      <c r="M87" s="29"/>
    </row>
    <row r="88" ht="15.75" customHeight="1">
      <c r="I88" s="1"/>
      <c r="J88" s="1"/>
      <c r="K88" s="2"/>
      <c r="L88" s="3"/>
      <c r="M88" s="29"/>
    </row>
    <row r="89" ht="15.75" customHeight="1">
      <c r="I89" s="1"/>
      <c r="J89" s="1"/>
      <c r="K89" s="2"/>
      <c r="L89" s="3"/>
      <c r="M89" s="29"/>
    </row>
    <row r="90" ht="15.75" customHeight="1">
      <c r="I90" s="1"/>
      <c r="J90" s="1"/>
      <c r="K90" s="2"/>
      <c r="L90" s="3"/>
      <c r="M90" s="29"/>
    </row>
    <row r="91" ht="15.75" customHeight="1">
      <c r="I91" s="1"/>
      <c r="J91" s="1"/>
      <c r="K91" s="2"/>
      <c r="L91" s="3"/>
      <c r="M91" s="29"/>
    </row>
    <row r="92" ht="15.75" customHeight="1">
      <c r="I92" s="1"/>
      <c r="J92" s="1"/>
      <c r="K92" s="2"/>
      <c r="L92" s="3"/>
      <c r="M92" s="29"/>
    </row>
    <row r="93" ht="15.75" customHeight="1">
      <c r="I93" s="1"/>
      <c r="J93" s="1"/>
      <c r="K93" s="2"/>
      <c r="L93" s="3"/>
      <c r="M93" s="29"/>
    </row>
    <row r="94" ht="15.75" customHeight="1">
      <c r="I94" s="1"/>
      <c r="J94" s="1"/>
      <c r="K94" s="2"/>
      <c r="L94" s="3"/>
      <c r="M94" s="29"/>
    </row>
    <row r="95" ht="15.75" customHeight="1">
      <c r="I95" s="1"/>
      <c r="J95" s="1"/>
      <c r="K95" s="2"/>
      <c r="L95" s="3"/>
      <c r="M95" s="29"/>
    </row>
    <row r="96" ht="15.75" customHeight="1">
      <c r="I96" s="1"/>
      <c r="J96" s="1"/>
      <c r="K96" s="2"/>
      <c r="L96" s="3"/>
      <c r="M96" s="29"/>
    </row>
    <row r="97" ht="15.75" customHeight="1">
      <c r="I97" s="1"/>
      <c r="J97" s="1"/>
      <c r="K97" s="2"/>
      <c r="L97" s="3"/>
      <c r="M97" s="29"/>
    </row>
    <row r="98" ht="15.75" customHeight="1">
      <c r="I98" s="1"/>
      <c r="J98" s="1"/>
      <c r="K98" s="2"/>
      <c r="L98" s="3"/>
      <c r="M98" s="29"/>
    </row>
    <row r="99" ht="15.75" customHeight="1">
      <c r="I99" s="1"/>
      <c r="J99" s="1"/>
      <c r="K99" s="2"/>
      <c r="L99" s="3"/>
      <c r="M99" s="29"/>
    </row>
    <row r="100" ht="15.75" customHeight="1">
      <c r="I100" s="1"/>
      <c r="J100" s="1"/>
      <c r="K100" s="2"/>
      <c r="L100" s="3"/>
      <c r="M100" s="29"/>
    </row>
    <row r="101" ht="15.75" customHeight="1">
      <c r="I101" s="1"/>
      <c r="J101" s="1"/>
      <c r="K101" s="2"/>
      <c r="L101" s="3"/>
      <c r="M101" s="29"/>
    </row>
    <row r="102" ht="15.75" customHeight="1">
      <c r="I102" s="1"/>
      <c r="J102" s="1"/>
      <c r="K102" s="2"/>
      <c r="L102" s="3"/>
      <c r="M102" s="29"/>
    </row>
    <row r="103" ht="15.75" customHeight="1">
      <c r="I103" s="1"/>
      <c r="J103" s="1"/>
      <c r="K103" s="2"/>
      <c r="L103" s="3"/>
      <c r="M103" s="29"/>
    </row>
    <row r="104" ht="15.75" customHeight="1">
      <c r="I104" s="1"/>
      <c r="J104" s="1"/>
      <c r="K104" s="2"/>
      <c r="L104" s="3"/>
      <c r="M104" s="29"/>
    </row>
    <row r="105" ht="15.75" customHeight="1">
      <c r="I105" s="1"/>
      <c r="J105" s="1"/>
      <c r="K105" s="2"/>
      <c r="L105" s="3"/>
      <c r="M105" s="29"/>
    </row>
    <row r="106" ht="15.75" customHeight="1">
      <c r="I106" s="1"/>
      <c r="J106" s="1"/>
      <c r="K106" s="2"/>
      <c r="L106" s="3"/>
      <c r="M106" s="29"/>
    </row>
    <row r="107" ht="15.75" customHeight="1">
      <c r="I107" s="1"/>
      <c r="J107" s="1"/>
      <c r="K107" s="2"/>
      <c r="L107" s="3"/>
      <c r="M107" s="29"/>
    </row>
    <row r="108" ht="15.75" customHeight="1">
      <c r="I108" s="1"/>
      <c r="J108" s="1"/>
      <c r="K108" s="2"/>
      <c r="L108" s="3"/>
      <c r="M108" s="29"/>
    </row>
    <row r="109" ht="15.75" customHeight="1">
      <c r="I109" s="1"/>
      <c r="J109" s="1"/>
      <c r="K109" s="2"/>
      <c r="L109" s="3"/>
      <c r="M109" s="29"/>
    </row>
    <row r="110" ht="15.75" customHeight="1">
      <c r="I110" s="1"/>
      <c r="J110" s="1"/>
      <c r="K110" s="2"/>
      <c r="L110" s="3"/>
      <c r="M110" s="29"/>
    </row>
    <row r="111" ht="15.75" customHeight="1">
      <c r="I111" s="1"/>
      <c r="J111" s="1"/>
      <c r="K111" s="2"/>
      <c r="L111" s="3"/>
      <c r="M111" s="29"/>
    </row>
    <row r="112" ht="15.75" customHeight="1">
      <c r="I112" s="1"/>
      <c r="J112" s="1"/>
      <c r="K112" s="2"/>
      <c r="L112" s="3"/>
      <c r="M112" s="29"/>
    </row>
    <row r="113" ht="15.75" customHeight="1">
      <c r="I113" s="1"/>
      <c r="J113" s="1"/>
      <c r="K113" s="2"/>
      <c r="L113" s="3"/>
      <c r="M113" s="29"/>
    </row>
    <row r="114" ht="15.75" customHeight="1">
      <c r="I114" s="1"/>
      <c r="J114" s="1"/>
      <c r="K114" s="2"/>
      <c r="L114" s="3"/>
      <c r="M114" s="29"/>
    </row>
    <row r="115" ht="15.75" customHeight="1">
      <c r="I115" s="1"/>
      <c r="J115" s="1"/>
      <c r="K115" s="2"/>
      <c r="L115" s="3"/>
      <c r="M115" s="29"/>
    </row>
    <row r="116" ht="15.75" customHeight="1">
      <c r="I116" s="1"/>
      <c r="J116" s="1"/>
      <c r="K116" s="2"/>
      <c r="L116" s="3"/>
      <c r="M116" s="29"/>
    </row>
    <row r="117" ht="15.75" customHeight="1">
      <c r="I117" s="1"/>
      <c r="J117" s="1"/>
      <c r="K117" s="2"/>
      <c r="L117" s="3"/>
      <c r="M117" s="29"/>
    </row>
    <row r="118" ht="15.75" customHeight="1">
      <c r="I118" s="1"/>
      <c r="J118" s="1"/>
      <c r="K118" s="2"/>
      <c r="L118" s="3"/>
      <c r="M118" s="29"/>
    </row>
    <row r="119" ht="15.75" customHeight="1">
      <c r="I119" s="1"/>
      <c r="J119" s="1"/>
      <c r="K119" s="2"/>
      <c r="L119" s="3"/>
      <c r="M119" s="29"/>
    </row>
    <row r="120" ht="15.75" customHeight="1">
      <c r="I120" s="1"/>
      <c r="J120" s="1"/>
      <c r="K120" s="2"/>
      <c r="L120" s="3"/>
      <c r="M120" s="29"/>
    </row>
    <row r="121" ht="15.75" customHeight="1">
      <c r="I121" s="1"/>
      <c r="J121" s="1"/>
      <c r="K121" s="2"/>
      <c r="L121" s="3"/>
      <c r="M121" s="29"/>
    </row>
    <row r="122" ht="15.75" customHeight="1">
      <c r="I122" s="1"/>
      <c r="J122" s="1"/>
      <c r="K122" s="2"/>
      <c r="L122" s="3"/>
      <c r="M122" s="29"/>
    </row>
    <row r="123" ht="15.75" customHeight="1">
      <c r="I123" s="1"/>
      <c r="J123" s="1"/>
      <c r="K123" s="2"/>
      <c r="L123" s="3"/>
      <c r="M123" s="29"/>
    </row>
    <row r="124" ht="15.75" customHeight="1">
      <c r="I124" s="1"/>
      <c r="J124" s="1"/>
      <c r="K124" s="2"/>
      <c r="L124" s="3"/>
      <c r="M124" s="29"/>
    </row>
    <row r="125" ht="15.75" customHeight="1">
      <c r="I125" s="1"/>
      <c r="J125" s="1"/>
      <c r="K125" s="2"/>
      <c r="L125" s="3"/>
      <c r="M125" s="29"/>
    </row>
    <row r="126" ht="15.75" customHeight="1">
      <c r="I126" s="1"/>
      <c r="J126" s="1"/>
      <c r="K126" s="2"/>
      <c r="L126" s="3"/>
      <c r="M126" s="29"/>
    </row>
    <row r="127" ht="15.75" customHeight="1">
      <c r="I127" s="1"/>
      <c r="J127" s="1"/>
      <c r="K127" s="2"/>
      <c r="L127" s="3"/>
      <c r="M127" s="29"/>
    </row>
    <row r="128" ht="15.75" customHeight="1">
      <c r="I128" s="1"/>
      <c r="J128" s="1"/>
      <c r="K128" s="2"/>
      <c r="L128" s="3"/>
      <c r="M128" s="29"/>
    </row>
    <row r="129" ht="15.75" customHeight="1">
      <c r="I129" s="1"/>
      <c r="J129" s="1"/>
      <c r="K129" s="2"/>
      <c r="L129" s="3"/>
      <c r="M129" s="29"/>
    </row>
    <row r="130" ht="15.75" customHeight="1">
      <c r="I130" s="1"/>
      <c r="J130" s="1"/>
      <c r="K130" s="2"/>
      <c r="L130" s="3"/>
      <c r="M130" s="29"/>
    </row>
    <row r="131" ht="15.75" customHeight="1">
      <c r="I131" s="1"/>
      <c r="J131" s="1"/>
      <c r="K131" s="2"/>
      <c r="L131" s="3"/>
      <c r="M131" s="29"/>
    </row>
    <row r="132" ht="15.75" customHeight="1">
      <c r="I132" s="1"/>
      <c r="J132" s="1"/>
      <c r="K132" s="2"/>
      <c r="L132" s="3"/>
      <c r="M132" s="29"/>
    </row>
    <row r="133" ht="15.75" customHeight="1">
      <c r="I133" s="1"/>
      <c r="J133" s="1"/>
      <c r="K133" s="2"/>
      <c r="L133" s="3"/>
      <c r="M133" s="29"/>
    </row>
    <row r="134" ht="15.75" customHeight="1">
      <c r="I134" s="1"/>
      <c r="J134" s="1"/>
      <c r="K134" s="2"/>
      <c r="L134" s="3"/>
      <c r="M134" s="29"/>
    </row>
    <row r="135" ht="15.75" customHeight="1">
      <c r="I135" s="1"/>
      <c r="J135" s="1"/>
      <c r="K135" s="2"/>
      <c r="L135" s="3"/>
      <c r="M135" s="29"/>
    </row>
    <row r="136" ht="15.75" customHeight="1">
      <c r="I136" s="1"/>
      <c r="J136" s="1"/>
      <c r="K136" s="2"/>
      <c r="L136" s="3"/>
      <c r="M136" s="29"/>
    </row>
    <row r="137" ht="15.75" customHeight="1">
      <c r="I137" s="1"/>
      <c r="J137" s="1"/>
      <c r="K137" s="2"/>
      <c r="L137" s="3"/>
      <c r="M137" s="29"/>
    </row>
    <row r="138" ht="15.75" customHeight="1">
      <c r="I138" s="1"/>
      <c r="J138" s="1"/>
      <c r="K138" s="2"/>
      <c r="L138" s="3"/>
      <c r="M138" s="29"/>
    </row>
    <row r="139" ht="15.75" customHeight="1">
      <c r="I139" s="1"/>
      <c r="J139" s="1"/>
      <c r="K139" s="2"/>
      <c r="L139" s="3"/>
      <c r="M139" s="29"/>
    </row>
    <row r="140" ht="15.75" customHeight="1">
      <c r="I140" s="1"/>
      <c r="J140" s="1"/>
      <c r="K140" s="2"/>
      <c r="L140" s="3"/>
      <c r="M140" s="29"/>
    </row>
    <row r="141" ht="15.75" customHeight="1">
      <c r="I141" s="1"/>
      <c r="J141" s="1"/>
      <c r="K141" s="2"/>
      <c r="L141" s="3"/>
      <c r="M141" s="29"/>
    </row>
    <row r="142" ht="15.75" customHeight="1">
      <c r="I142" s="1"/>
      <c r="J142" s="1"/>
      <c r="K142" s="2"/>
      <c r="L142" s="3"/>
      <c r="M142" s="29"/>
    </row>
    <row r="143" ht="15.75" customHeight="1">
      <c r="I143" s="1"/>
      <c r="J143" s="1"/>
      <c r="K143" s="2"/>
      <c r="L143" s="3"/>
      <c r="M143" s="29"/>
    </row>
    <row r="144" ht="15.75" customHeight="1">
      <c r="I144" s="1"/>
      <c r="J144" s="1"/>
      <c r="K144" s="2"/>
      <c r="L144" s="3"/>
      <c r="M144" s="29"/>
    </row>
    <row r="145" ht="15.75" customHeight="1">
      <c r="I145" s="1"/>
      <c r="J145" s="1"/>
      <c r="K145" s="2"/>
      <c r="L145" s="3"/>
      <c r="M145" s="29"/>
    </row>
    <row r="146" ht="15.75" customHeight="1">
      <c r="I146" s="1"/>
      <c r="J146" s="1"/>
      <c r="K146" s="2"/>
      <c r="L146" s="3"/>
      <c r="M146" s="29"/>
    </row>
    <row r="147" ht="15.75" customHeight="1">
      <c r="I147" s="1"/>
      <c r="J147" s="1"/>
      <c r="K147" s="2"/>
      <c r="L147" s="3"/>
      <c r="M147" s="29"/>
    </row>
    <row r="148" ht="15.75" customHeight="1">
      <c r="I148" s="1"/>
      <c r="J148" s="1"/>
      <c r="K148" s="2"/>
      <c r="L148" s="3"/>
      <c r="M148" s="29"/>
    </row>
    <row r="149" ht="15.75" customHeight="1">
      <c r="I149" s="1"/>
      <c r="J149" s="1"/>
      <c r="K149" s="2"/>
      <c r="L149" s="3"/>
      <c r="M149" s="29"/>
    </row>
    <row r="150" ht="15.75" customHeight="1">
      <c r="I150" s="1"/>
      <c r="J150" s="1"/>
      <c r="K150" s="2"/>
      <c r="L150" s="3"/>
      <c r="M150" s="29"/>
    </row>
    <row r="151" ht="15.75" customHeight="1">
      <c r="I151" s="1"/>
      <c r="J151" s="1"/>
      <c r="K151" s="2"/>
      <c r="L151" s="3"/>
      <c r="M151" s="29"/>
    </row>
    <row r="152" ht="15.75" customHeight="1">
      <c r="I152" s="1"/>
      <c r="J152" s="1"/>
      <c r="K152" s="2"/>
      <c r="L152" s="3"/>
      <c r="M152" s="29"/>
    </row>
    <row r="153" ht="15.75" customHeight="1">
      <c r="I153" s="1"/>
      <c r="J153" s="1"/>
      <c r="K153" s="2"/>
      <c r="L153" s="3"/>
      <c r="M153" s="29"/>
    </row>
    <row r="154" ht="15.75" customHeight="1">
      <c r="I154" s="1"/>
      <c r="J154" s="1"/>
      <c r="K154" s="2"/>
      <c r="L154" s="3"/>
      <c r="M154" s="29"/>
    </row>
    <row r="155" ht="15.75" customHeight="1">
      <c r="I155" s="1"/>
      <c r="J155" s="1"/>
      <c r="K155" s="2"/>
      <c r="L155" s="3"/>
      <c r="M155" s="29"/>
    </row>
    <row r="156" ht="15.75" customHeight="1">
      <c r="I156" s="1"/>
      <c r="J156" s="1"/>
      <c r="K156" s="2"/>
      <c r="L156" s="3"/>
      <c r="M156" s="29"/>
    </row>
    <row r="157" ht="15.75" customHeight="1">
      <c r="I157" s="1"/>
      <c r="J157" s="1"/>
      <c r="K157" s="2"/>
      <c r="L157" s="3"/>
      <c r="M157" s="29"/>
    </row>
    <row r="158" ht="15.75" customHeight="1">
      <c r="I158" s="1"/>
      <c r="J158" s="1"/>
      <c r="K158" s="2"/>
      <c r="L158" s="3"/>
      <c r="M158" s="29"/>
    </row>
    <row r="159" ht="15.75" customHeight="1">
      <c r="I159" s="1"/>
      <c r="J159" s="1"/>
      <c r="K159" s="2"/>
      <c r="L159" s="3"/>
      <c r="M159" s="29"/>
    </row>
    <row r="160" ht="15.75" customHeight="1">
      <c r="I160" s="1"/>
      <c r="J160" s="1"/>
      <c r="K160" s="2"/>
      <c r="L160" s="3"/>
      <c r="M160" s="29"/>
    </row>
    <row r="161" ht="15.75" customHeight="1">
      <c r="I161" s="1"/>
      <c r="J161" s="1"/>
      <c r="K161" s="2"/>
      <c r="L161" s="3"/>
      <c r="M161" s="29"/>
    </row>
    <row r="162" ht="15.75" customHeight="1">
      <c r="I162" s="1"/>
      <c r="J162" s="1"/>
      <c r="K162" s="2"/>
      <c r="L162" s="3"/>
      <c r="M162" s="29"/>
    </row>
    <row r="163" ht="15.75" customHeight="1">
      <c r="I163" s="1"/>
      <c r="J163" s="1"/>
      <c r="K163" s="2"/>
      <c r="L163" s="3"/>
      <c r="M163" s="29"/>
    </row>
    <row r="164" ht="15.75" customHeight="1">
      <c r="I164" s="1"/>
      <c r="J164" s="1"/>
      <c r="K164" s="2"/>
      <c r="L164" s="3"/>
      <c r="M164" s="29"/>
    </row>
    <row r="165" ht="15.75" customHeight="1">
      <c r="I165" s="1"/>
      <c r="J165" s="1"/>
      <c r="K165" s="2"/>
      <c r="L165" s="3"/>
      <c r="M165" s="29"/>
    </row>
    <row r="166" ht="15.75" customHeight="1">
      <c r="I166" s="1"/>
      <c r="J166" s="1"/>
      <c r="K166" s="2"/>
      <c r="L166" s="3"/>
      <c r="M166" s="29"/>
    </row>
    <row r="167" ht="15.75" customHeight="1">
      <c r="I167" s="1"/>
      <c r="J167" s="1"/>
      <c r="K167" s="2"/>
      <c r="L167" s="3"/>
      <c r="M167" s="29"/>
    </row>
    <row r="168" ht="15.75" customHeight="1">
      <c r="I168" s="1"/>
      <c r="J168" s="1"/>
      <c r="K168" s="2"/>
      <c r="L168" s="3"/>
      <c r="M168" s="29"/>
    </row>
    <row r="169" ht="15.75" customHeight="1">
      <c r="I169" s="1"/>
      <c r="J169" s="1"/>
      <c r="K169" s="2"/>
      <c r="L169" s="3"/>
      <c r="M169" s="29"/>
    </row>
    <row r="170" ht="15.75" customHeight="1">
      <c r="I170" s="1"/>
      <c r="J170" s="1"/>
      <c r="K170" s="2"/>
      <c r="L170" s="3"/>
      <c r="M170" s="29"/>
    </row>
    <row r="171" ht="15.75" customHeight="1">
      <c r="I171" s="1"/>
      <c r="J171" s="1"/>
      <c r="K171" s="2"/>
      <c r="L171" s="3"/>
      <c r="M171" s="29"/>
    </row>
    <row r="172" ht="15.75" customHeight="1">
      <c r="I172" s="1"/>
      <c r="J172" s="1"/>
      <c r="K172" s="2"/>
      <c r="L172" s="3"/>
      <c r="M172" s="29"/>
    </row>
    <row r="173" ht="15.75" customHeight="1">
      <c r="I173" s="1"/>
      <c r="J173" s="1"/>
      <c r="K173" s="2"/>
      <c r="L173" s="3"/>
      <c r="M173" s="29"/>
    </row>
    <row r="174" ht="15.75" customHeight="1">
      <c r="I174" s="1"/>
      <c r="J174" s="1"/>
      <c r="K174" s="2"/>
      <c r="L174" s="3"/>
      <c r="M174" s="29"/>
    </row>
    <row r="175" ht="15.75" customHeight="1">
      <c r="I175" s="1"/>
      <c r="J175" s="1"/>
      <c r="K175" s="2"/>
      <c r="L175" s="3"/>
      <c r="M175" s="29"/>
    </row>
    <row r="176" ht="15.75" customHeight="1">
      <c r="I176" s="1"/>
      <c r="J176" s="1"/>
      <c r="K176" s="2"/>
      <c r="L176" s="3"/>
      <c r="M176" s="29"/>
    </row>
    <row r="177" ht="15.75" customHeight="1">
      <c r="I177" s="1"/>
      <c r="J177" s="1"/>
      <c r="K177" s="2"/>
      <c r="L177" s="3"/>
      <c r="M177" s="29"/>
    </row>
    <row r="178" ht="15.75" customHeight="1">
      <c r="I178" s="1"/>
      <c r="J178" s="1"/>
      <c r="K178" s="2"/>
      <c r="L178" s="3"/>
      <c r="M178" s="29"/>
    </row>
    <row r="179" ht="15.75" customHeight="1">
      <c r="I179" s="1"/>
      <c r="J179" s="1"/>
      <c r="K179" s="2"/>
      <c r="L179" s="3"/>
      <c r="M179" s="29"/>
    </row>
    <row r="180" ht="15.75" customHeight="1">
      <c r="I180" s="1"/>
      <c r="J180" s="1"/>
      <c r="K180" s="2"/>
      <c r="L180" s="3"/>
      <c r="M180" s="29"/>
    </row>
    <row r="181" ht="15.75" customHeight="1">
      <c r="I181" s="1"/>
      <c r="J181" s="1"/>
      <c r="K181" s="2"/>
      <c r="L181" s="3"/>
      <c r="M181" s="29"/>
    </row>
    <row r="182" ht="15.75" customHeight="1">
      <c r="I182" s="1"/>
      <c r="J182" s="1"/>
      <c r="K182" s="2"/>
      <c r="L182" s="3"/>
      <c r="M182" s="29"/>
    </row>
    <row r="183" ht="15.75" customHeight="1">
      <c r="I183" s="1"/>
      <c r="J183" s="1"/>
      <c r="K183" s="2"/>
      <c r="L183" s="3"/>
      <c r="M183" s="29"/>
    </row>
    <row r="184" ht="15.75" customHeight="1">
      <c r="I184" s="1"/>
      <c r="J184" s="1"/>
      <c r="K184" s="2"/>
      <c r="L184" s="3"/>
      <c r="M184" s="29"/>
    </row>
    <row r="185" ht="15.75" customHeight="1">
      <c r="I185" s="1"/>
      <c r="J185" s="1"/>
      <c r="K185" s="2"/>
      <c r="L185" s="3"/>
      <c r="M185" s="29"/>
    </row>
    <row r="186" ht="15.75" customHeight="1">
      <c r="I186" s="1"/>
      <c r="J186" s="1"/>
      <c r="K186" s="2"/>
      <c r="L186" s="3"/>
      <c r="M186" s="29"/>
    </row>
    <row r="187" ht="15.75" customHeight="1">
      <c r="I187" s="1"/>
      <c r="J187" s="1"/>
      <c r="K187" s="2"/>
      <c r="L187" s="3"/>
      <c r="M187" s="29"/>
    </row>
    <row r="188" ht="15.75" customHeight="1">
      <c r="I188" s="1"/>
      <c r="J188" s="1"/>
      <c r="K188" s="2"/>
      <c r="L188" s="3"/>
      <c r="M188" s="29"/>
    </row>
    <row r="189" ht="15.75" customHeight="1">
      <c r="I189" s="1"/>
      <c r="J189" s="1"/>
      <c r="K189" s="2"/>
      <c r="L189" s="3"/>
      <c r="M189" s="29"/>
    </row>
    <row r="190" ht="15.75" customHeight="1">
      <c r="I190" s="1"/>
      <c r="J190" s="1"/>
      <c r="K190" s="2"/>
      <c r="L190" s="3"/>
      <c r="M190" s="29"/>
    </row>
    <row r="191" ht="15.75" customHeight="1">
      <c r="I191" s="1"/>
      <c r="J191" s="1"/>
      <c r="K191" s="2"/>
      <c r="L191" s="3"/>
      <c r="M191" s="29"/>
    </row>
    <row r="192" ht="15.75" customHeight="1">
      <c r="I192" s="1"/>
      <c r="J192" s="1"/>
      <c r="K192" s="2"/>
      <c r="L192" s="3"/>
      <c r="M192" s="29"/>
    </row>
    <row r="193" ht="15.75" customHeight="1">
      <c r="I193" s="1"/>
      <c r="J193" s="1"/>
      <c r="K193" s="2"/>
      <c r="L193" s="3"/>
      <c r="M193" s="29"/>
    </row>
    <row r="194" ht="15.75" customHeight="1">
      <c r="I194" s="1"/>
      <c r="J194" s="1"/>
      <c r="K194" s="2"/>
      <c r="L194" s="3"/>
      <c r="M194" s="29"/>
    </row>
    <row r="195" ht="15.75" customHeight="1">
      <c r="I195" s="1"/>
      <c r="J195" s="1"/>
      <c r="K195" s="2"/>
      <c r="L195" s="3"/>
      <c r="M195" s="29"/>
    </row>
    <row r="196" ht="15.75" customHeight="1">
      <c r="I196" s="1"/>
      <c r="J196" s="1"/>
      <c r="K196" s="2"/>
      <c r="L196" s="3"/>
      <c r="M196" s="29"/>
    </row>
    <row r="197" ht="15.75" customHeight="1">
      <c r="I197" s="1"/>
      <c r="J197" s="1"/>
      <c r="K197" s="2"/>
      <c r="L197" s="3"/>
      <c r="M197" s="29"/>
    </row>
    <row r="198" ht="15.75" customHeight="1">
      <c r="I198" s="1"/>
      <c r="J198" s="1"/>
      <c r="K198" s="2"/>
      <c r="L198" s="3"/>
      <c r="M198" s="29"/>
    </row>
    <row r="199" ht="15.75" customHeight="1">
      <c r="I199" s="1"/>
      <c r="J199" s="1"/>
      <c r="K199" s="2"/>
      <c r="L199" s="3"/>
      <c r="M199" s="29"/>
    </row>
    <row r="200" ht="15.75" customHeight="1">
      <c r="I200" s="1"/>
      <c r="J200" s="1"/>
      <c r="K200" s="2"/>
      <c r="L200" s="3"/>
      <c r="M200" s="29"/>
    </row>
    <row r="201" ht="15.75" customHeight="1">
      <c r="I201" s="1"/>
      <c r="J201" s="1"/>
      <c r="K201" s="2"/>
      <c r="L201" s="3"/>
      <c r="M201" s="29"/>
    </row>
    <row r="202" ht="15.75" customHeight="1">
      <c r="I202" s="1"/>
      <c r="J202" s="1"/>
      <c r="K202" s="2"/>
      <c r="L202" s="3"/>
      <c r="M202" s="29"/>
    </row>
    <row r="203" ht="15.75" customHeight="1">
      <c r="I203" s="1"/>
      <c r="J203" s="1"/>
      <c r="K203" s="2"/>
      <c r="L203" s="3"/>
      <c r="M203" s="29"/>
    </row>
    <row r="204" ht="15.75" customHeight="1">
      <c r="I204" s="1"/>
      <c r="J204" s="1"/>
      <c r="K204" s="2"/>
      <c r="L204" s="3"/>
      <c r="M204" s="29"/>
    </row>
    <row r="205" ht="15.75" customHeight="1">
      <c r="I205" s="1"/>
      <c r="J205" s="1"/>
      <c r="K205" s="2"/>
      <c r="L205" s="3"/>
      <c r="M205" s="29"/>
    </row>
    <row r="206" ht="15.75" customHeight="1">
      <c r="I206" s="1"/>
      <c r="J206" s="1"/>
      <c r="K206" s="2"/>
      <c r="L206" s="3"/>
      <c r="M206" s="29"/>
    </row>
    <row r="207" ht="15.75" customHeight="1">
      <c r="I207" s="1"/>
      <c r="J207" s="1"/>
      <c r="K207" s="2"/>
      <c r="L207" s="3"/>
      <c r="M207" s="29"/>
    </row>
    <row r="208" ht="15.75" customHeight="1">
      <c r="I208" s="1"/>
      <c r="J208" s="1"/>
      <c r="K208" s="2"/>
      <c r="L208" s="3"/>
      <c r="M208" s="29"/>
    </row>
    <row r="209" ht="15.75" customHeight="1">
      <c r="I209" s="1"/>
      <c r="J209" s="1"/>
      <c r="K209" s="2"/>
      <c r="L209" s="3"/>
      <c r="M209" s="29"/>
    </row>
    <row r="210" ht="15.75" customHeight="1">
      <c r="I210" s="1"/>
      <c r="J210" s="1"/>
      <c r="K210" s="2"/>
      <c r="L210" s="3"/>
      <c r="M210" s="29"/>
    </row>
    <row r="211" ht="15.75" customHeight="1">
      <c r="I211" s="1"/>
      <c r="J211" s="1"/>
      <c r="K211" s="2"/>
      <c r="L211" s="3"/>
      <c r="M211" s="29"/>
    </row>
    <row r="212" ht="15.75" customHeight="1">
      <c r="I212" s="1"/>
      <c r="J212" s="1"/>
      <c r="K212" s="2"/>
      <c r="L212" s="3"/>
      <c r="M212" s="29"/>
    </row>
    <row r="213" ht="15.75" customHeight="1">
      <c r="I213" s="1"/>
      <c r="J213" s="1"/>
      <c r="K213" s="2"/>
      <c r="L213" s="3"/>
      <c r="M213" s="29"/>
    </row>
    <row r="214" ht="15.75" customHeight="1">
      <c r="I214" s="1"/>
      <c r="J214" s="1"/>
      <c r="K214" s="2"/>
      <c r="L214" s="3"/>
      <c r="M214" s="29"/>
    </row>
    <row r="215" ht="15.75" customHeight="1">
      <c r="I215" s="1"/>
      <c r="J215" s="1"/>
      <c r="K215" s="2"/>
      <c r="L215" s="3"/>
      <c r="M215" s="29"/>
    </row>
    <row r="216" ht="15.75" customHeight="1">
      <c r="I216" s="1"/>
      <c r="J216" s="1"/>
      <c r="K216" s="2"/>
      <c r="L216" s="3"/>
      <c r="M216" s="29"/>
    </row>
    <row r="217" ht="15.75" customHeight="1">
      <c r="I217" s="1"/>
      <c r="J217" s="1"/>
      <c r="K217" s="2"/>
      <c r="L217" s="3"/>
      <c r="M217" s="29"/>
    </row>
    <row r="218" ht="15.75" customHeight="1">
      <c r="I218" s="1"/>
      <c r="J218" s="1"/>
      <c r="K218" s="2"/>
      <c r="L218" s="3"/>
      <c r="M218" s="29"/>
    </row>
    <row r="219" ht="15.75" customHeight="1">
      <c r="I219" s="1"/>
      <c r="J219" s="1"/>
      <c r="K219" s="2"/>
      <c r="L219" s="3"/>
      <c r="M219" s="29"/>
    </row>
    <row r="220" ht="15.75" customHeight="1">
      <c r="I220" s="1"/>
      <c r="J220" s="1"/>
      <c r="K220" s="2"/>
      <c r="L220" s="3"/>
      <c r="M220" s="29"/>
    </row>
    <row r="221" ht="15.75" customHeight="1">
      <c r="I221" s="1"/>
      <c r="J221" s="1"/>
      <c r="K221" s="2"/>
      <c r="L221" s="3"/>
      <c r="M221" s="29"/>
    </row>
    <row r="222" ht="15.75" customHeight="1">
      <c r="I222" s="1"/>
      <c r="J222" s="1"/>
      <c r="K222" s="2"/>
      <c r="L222" s="3"/>
      <c r="M222" s="29"/>
    </row>
    <row r="223" ht="15.75" customHeight="1">
      <c r="I223" s="1"/>
      <c r="J223" s="1"/>
      <c r="K223" s="2"/>
      <c r="L223" s="3"/>
      <c r="M223" s="29"/>
    </row>
    <row r="224" ht="15.75" customHeight="1">
      <c r="I224" s="1"/>
      <c r="J224" s="1"/>
      <c r="K224" s="2"/>
      <c r="L224" s="3"/>
      <c r="M224" s="29"/>
    </row>
    <row r="225" ht="15.75" customHeight="1">
      <c r="I225" s="1"/>
      <c r="J225" s="1"/>
      <c r="K225" s="2"/>
      <c r="L225" s="3"/>
      <c r="M225" s="29"/>
    </row>
    <row r="226" ht="15.75" customHeight="1">
      <c r="I226" s="1"/>
      <c r="J226" s="1"/>
      <c r="K226" s="2"/>
      <c r="L226" s="3"/>
      <c r="M226" s="29"/>
    </row>
    <row r="227" ht="15.75" customHeight="1">
      <c r="I227" s="1"/>
      <c r="J227" s="1"/>
      <c r="K227" s="2"/>
      <c r="L227" s="3"/>
      <c r="M227" s="29"/>
    </row>
    <row r="228" ht="15.75" customHeight="1">
      <c r="I228" s="1"/>
      <c r="J228" s="1"/>
      <c r="K228" s="2"/>
      <c r="L228" s="3"/>
      <c r="M228" s="29"/>
    </row>
    <row r="229" ht="15.75" customHeight="1">
      <c r="I229" s="1"/>
      <c r="J229" s="1"/>
      <c r="K229" s="2"/>
      <c r="L229" s="3"/>
      <c r="M229" s="29"/>
    </row>
    <row r="230" ht="15.75" customHeight="1">
      <c r="I230" s="1"/>
      <c r="J230" s="1"/>
      <c r="K230" s="2"/>
      <c r="L230" s="3"/>
      <c r="M230" s="29"/>
    </row>
    <row r="231" ht="15.75" customHeight="1">
      <c r="I231" s="1"/>
      <c r="J231" s="1"/>
      <c r="K231" s="2"/>
      <c r="L231" s="3"/>
      <c r="M231" s="29"/>
    </row>
    <row r="232" ht="15.75" customHeight="1">
      <c r="I232" s="1"/>
      <c r="J232" s="1"/>
      <c r="K232" s="2"/>
      <c r="L232" s="3"/>
      <c r="M232" s="29"/>
    </row>
    <row r="233" ht="15.75" customHeight="1">
      <c r="I233" s="1"/>
      <c r="J233" s="1"/>
      <c r="K233" s="2"/>
      <c r="L233" s="3"/>
      <c r="M233" s="29"/>
    </row>
    <row r="234" ht="15.75" customHeight="1">
      <c r="I234" s="1"/>
      <c r="J234" s="1"/>
      <c r="K234" s="2"/>
      <c r="L234" s="3"/>
      <c r="M234" s="29"/>
    </row>
    <row r="235" ht="15.75" customHeight="1">
      <c r="I235" s="1"/>
      <c r="J235" s="1"/>
      <c r="K235" s="2"/>
      <c r="L235" s="3"/>
      <c r="M235" s="29"/>
    </row>
    <row r="236" ht="15.75" customHeight="1">
      <c r="M236" s="29"/>
    </row>
    <row r="237" ht="15.75" customHeight="1">
      <c r="M237" s="29"/>
    </row>
    <row r="238" ht="15.75" customHeight="1">
      <c r="M238" s="29"/>
    </row>
    <row r="239" ht="15.75" customHeight="1">
      <c r="M239" s="29"/>
    </row>
    <row r="240" ht="15.75" customHeight="1">
      <c r="M240" s="29"/>
    </row>
    <row r="241" ht="15.75" customHeight="1">
      <c r="M241" s="29"/>
    </row>
    <row r="242" ht="15.75" customHeight="1">
      <c r="M242" s="29"/>
    </row>
    <row r="243" ht="15.75" customHeight="1">
      <c r="M243" s="29"/>
    </row>
    <row r="244" ht="15.75" customHeight="1">
      <c r="M244" s="29"/>
    </row>
    <row r="245" ht="15.75" customHeight="1">
      <c r="M245" s="29"/>
    </row>
    <row r="246" ht="15.75" customHeight="1">
      <c r="M246" s="29"/>
    </row>
    <row r="247" ht="15.75" customHeight="1">
      <c r="M247" s="29"/>
    </row>
    <row r="248" ht="15.75" customHeight="1">
      <c r="M248" s="29"/>
    </row>
    <row r="249" ht="15.75" customHeight="1">
      <c r="M249" s="29"/>
    </row>
    <row r="250" ht="15.75" customHeight="1">
      <c r="M250" s="29"/>
    </row>
    <row r="251" ht="15.75" customHeight="1">
      <c r="M251" s="29"/>
    </row>
    <row r="252" ht="15.75" customHeight="1">
      <c r="M252" s="29"/>
    </row>
    <row r="253" ht="15.75" customHeight="1">
      <c r="M253" s="29"/>
    </row>
    <row r="254" ht="15.75" customHeight="1">
      <c r="M254" s="29"/>
    </row>
    <row r="255" ht="15.75" customHeight="1">
      <c r="M255" s="29"/>
    </row>
    <row r="256" ht="15.75" customHeight="1">
      <c r="M256" s="29"/>
    </row>
    <row r="257" ht="15.75" customHeight="1">
      <c r="M257" s="29"/>
    </row>
    <row r="258" ht="15.75" customHeight="1">
      <c r="M258" s="29"/>
    </row>
    <row r="259" ht="15.75" customHeight="1">
      <c r="M259" s="29"/>
    </row>
    <row r="260" ht="15.75" customHeight="1">
      <c r="M260" s="29"/>
    </row>
    <row r="261" ht="15.75" customHeight="1">
      <c r="M261" s="29"/>
    </row>
    <row r="262" ht="15.75" customHeight="1">
      <c r="M262" s="29"/>
    </row>
    <row r="263" ht="15.75" customHeight="1">
      <c r="M263" s="29"/>
    </row>
    <row r="264" ht="15.75" customHeight="1">
      <c r="M264" s="29"/>
    </row>
    <row r="265" ht="15.75" customHeight="1">
      <c r="M265" s="29"/>
    </row>
    <row r="266" ht="15.75" customHeight="1">
      <c r="M266" s="29"/>
    </row>
    <row r="267" ht="15.75" customHeight="1">
      <c r="M267" s="29"/>
    </row>
    <row r="268" ht="15.75" customHeight="1">
      <c r="M268" s="29"/>
    </row>
    <row r="269" ht="15.75" customHeight="1">
      <c r="M269" s="29"/>
    </row>
    <row r="270" ht="15.75" customHeight="1">
      <c r="M270" s="29"/>
    </row>
    <row r="271" ht="15.75" customHeight="1">
      <c r="M271" s="29"/>
    </row>
    <row r="272" ht="15.75" customHeight="1">
      <c r="M272" s="29"/>
    </row>
    <row r="273" ht="15.75" customHeight="1">
      <c r="M273" s="29"/>
    </row>
    <row r="274" ht="15.75" customHeight="1">
      <c r="M274" s="29"/>
    </row>
    <row r="275" ht="15.75" customHeight="1">
      <c r="M275" s="29"/>
    </row>
    <row r="276" ht="15.75" customHeight="1">
      <c r="M276" s="29"/>
    </row>
    <row r="277" ht="15.75" customHeight="1">
      <c r="M277" s="29"/>
    </row>
    <row r="278" ht="15.75" customHeight="1">
      <c r="M278" s="29"/>
    </row>
    <row r="279" ht="15.75" customHeight="1">
      <c r="M279" s="29"/>
    </row>
    <row r="280" ht="15.75" customHeight="1">
      <c r="M280" s="29"/>
    </row>
    <row r="281" ht="15.75" customHeight="1">
      <c r="M281" s="29"/>
    </row>
    <row r="282" ht="15.75" customHeight="1">
      <c r="M282" s="29"/>
    </row>
    <row r="283" ht="15.75" customHeight="1">
      <c r="M283" s="29"/>
    </row>
    <row r="284" ht="15.75" customHeight="1">
      <c r="M284" s="29"/>
    </row>
    <row r="285" ht="15.75" customHeight="1">
      <c r="M285" s="29"/>
    </row>
    <row r="286" ht="15.75" customHeight="1">
      <c r="M286" s="29"/>
    </row>
    <row r="287" ht="15.75" customHeight="1">
      <c r="M287" s="29"/>
    </row>
    <row r="288" ht="15.75" customHeight="1">
      <c r="M288" s="29"/>
    </row>
    <row r="289" ht="15.75" customHeight="1">
      <c r="M289" s="29"/>
    </row>
    <row r="290" ht="15.75" customHeight="1">
      <c r="M290" s="29"/>
    </row>
    <row r="291" ht="15.75" customHeight="1">
      <c r="M291" s="29"/>
    </row>
    <row r="292" ht="15.75" customHeight="1">
      <c r="M292" s="29"/>
    </row>
    <row r="293" ht="15.75" customHeight="1">
      <c r="M293" s="29"/>
    </row>
    <row r="294" ht="15.75" customHeight="1">
      <c r="M294" s="29"/>
    </row>
    <row r="295" ht="15.75" customHeight="1">
      <c r="M295" s="29"/>
    </row>
    <row r="296" ht="15.75" customHeight="1">
      <c r="M296" s="29"/>
    </row>
    <row r="297" ht="15.75" customHeight="1">
      <c r="M297" s="29"/>
    </row>
    <row r="298" ht="15.75" customHeight="1">
      <c r="M298" s="29"/>
    </row>
    <row r="299" ht="15.75" customHeight="1">
      <c r="M299" s="29"/>
    </row>
    <row r="300" ht="15.75" customHeight="1">
      <c r="M300" s="29"/>
    </row>
    <row r="301" ht="15.75" customHeight="1">
      <c r="M301" s="29"/>
    </row>
    <row r="302" ht="15.75" customHeight="1">
      <c r="M302" s="29"/>
    </row>
    <row r="303" ht="15.75" customHeight="1">
      <c r="M303" s="29"/>
    </row>
    <row r="304" ht="15.75" customHeight="1">
      <c r="M304" s="29"/>
    </row>
    <row r="305" ht="15.75" customHeight="1">
      <c r="M305" s="29"/>
    </row>
    <row r="306" ht="15.75" customHeight="1">
      <c r="M306" s="29"/>
    </row>
    <row r="307" ht="15.75" customHeight="1">
      <c r="M307" s="29"/>
    </row>
    <row r="308" ht="15.75" customHeight="1">
      <c r="M308" s="29"/>
    </row>
    <row r="309" ht="15.75" customHeight="1">
      <c r="M309" s="29"/>
    </row>
    <row r="310" ht="15.75" customHeight="1">
      <c r="M310" s="29"/>
    </row>
    <row r="311" ht="15.75" customHeight="1">
      <c r="M311" s="29"/>
    </row>
    <row r="312" ht="15.75" customHeight="1">
      <c r="M312" s="29"/>
    </row>
    <row r="313" ht="15.75" customHeight="1">
      <c r="M313" s="29"/>
    </row>
    <row r="314" ht="15.75" customHeight="1">
      <c r="M314" s="29"/>
    </row>
    <row r="315" ht="15.75" customHeight="1">
      <c r="M315" s="29"/>
    </row>
    <row r="316" ht="15.75" customHeight="1">
      <c r="M316" s="29"/>
    </row>
    <row r="317" ht="15.75" customHeight="1">
      <c r="M317" s="29"/>
    </row>
    <row r="318" ht="15.75" customHeight="1">
      <c r="M318" s="29"/>
    </row>
    <row r="319" ht="15.75" customHeight="1">
      <c r="M319" s="29"/>
    </row>
    <row r="320" ht="15.75" customHeight="1">
      <c r="M320" s="29"/>
    </row>
    <row r="321" ht="15.75" customHeight="1">
      <c r="M321" s="29"/>
    </row>
    <row r="322" ht="15.75" customHeight="1">
      <c r="M322" s="29"/>
    </row>
    <row r="323" ht="15.75" customHeight="1">
      <c r="M323" s="29"/>
    </row>
    <row r="324" ht="15.75" customHeight="1">
      <c r="M324" s="29"/>
    </row>
    <row r="325" ht="15.75" customHeight="1">
      <c r="M325" s="29"/>
    </row>
    <row r="326" ht="15.75" customHeight="1">
      <c r="M326" s="29"/>
    </row>
    <row r="327" ht="15.75" customHeight="1">
      <c r="M327" s="29"/>
    </row>
    <row r="328" ht="15.75" customHeight="1">
      <c r="M328" s="29"/>
    </row>
    <row r="329" ht="15.75" customHeight="1">
      <c r="M329" s="29"/>
    </row>
    <row r="330" ht="15.75" customHeight="1">
      <c r="M330" s="29"/>
    </row>
    <row r="331" ht="15.75" customHeight="1">
      <c r="M331" s="29"/>
    </row>
    <row r="332" ht="15.75" customHeight="1">
      <c r="M332" s="29"/>
    </row>
    <row r="333" ht="15.75" customHeight="1">
      <c r="M333" s="29"/>
    </row>
    <row r="334" ht="15.75" customHeight="1">
      <c r="M334" s="29"/>
    </row>
    <row r="335" ht="15.75" customHeight="1">
      <c r="M335" s="29"/>
    </row>
    <row r="336" ht="15.75" customHeight="1">
      <c r="M336" s="29"/>
    </row>
    <row r="337" ht="15.75" customHeight="1">
      <c r="M337" s="29"/>
    </row>
    <row r="338" ht="15.75" customHeight="1">
      <c r="M338" s="29"/>
    </row>
    <row r="339" ht="15.75" customHeight="1">
      <c r="M339" s="29"/>
    </row>
    <row r="340" ht="15.75" customHeight="1">
      <c r="M340" s="29"/>
    </row>
    <row r="341" ht="15.75" customHeight="1">
      <c r="M341" s="29"/>
    </row>
    <row r="342" ht="15.75" customHeight="1">
      <c r="M342" s="29"/>
    </row>
    <row r="343" ht="15.75" customHeight="1">
      <c r="M343" s="29"/>
    </row>
    <row r="344" ht="15.75" customHeight="1">
      <c r="M344" s="29"/>
    </row>
    <row r="345" ht="15.75" customHeight="1">
      <c r="M345" s="29"/>
    </row>
    <row r="346" ht="15.75" customHeight="1">
      <c r="M346" s="29"/>
    </row>
    <row r="347" ht="15.75" customHeight="1">
      <c r="M347" s="29"/>
    </row>
    <row r="348" ht="15.75" customHeight="1">
      <c r="M348" s="29"/>
    </row>
    <row r="349" ht="15.75" customHeight="1">
      <c r="M349" s="29"/>
    </row>
    <row r="350" ht="15.75" customHeight="1">
      <c r="M350" s="29"/>
    </row>
    <row r="351" ht="15.75" customHeight="1">
      <c r="M351" s="29"/>
    </row>
    <row r="352" ht="15.75" customHeight="1">
      <c r="M352" s="29"/>
    </row>
    <row r="353" ht="15.75" customHeight="1">
      <c r="M353" s="29"/>
    </row>
    <row r="354" ht="15.75" customHeight="1">
      <c r="M354" s="29"/>
    </row>
    <row r="355" ht="15.75" customHeight="1">
      <c r="M355" s="29"/>
    </row>
    <row r="356" ht="15.75" customHeight="1">
      <c r="M356" s="29"/>
    </row>
    <row r="357" ht="15.75" customHeight="1">
      <c r="M357" s="29"/>
    </row>
    <row r="358" ht="15.75" customHeight="1">
      <c r="M358" s="29"/>
    </row>
    <row r="359" ht="15.75" customHeight="1">
      <c r="M359" s="29"/>
    </row>
    <row r="360" ht="15.75" customHeight="1">
      <c r="M360" s="29"/>
    </row>
    <row r="361" ht="15.75" customHeight="1">
      <c r="M361" s="29"/>
    </row>
    <row r="362" ht="15.75" customHeight="1">
      <c r="M362" s="29"/>
    </row>
    <row r="363" ht="15.75" customHeight="1">
      <c r="M363" s="29"/>
    </row>
    <row r="364" ht="15.75" customHeight="1">
      <c r="M364" s="29"/>
    </row>
    <row r="365" ht="15.75" customHeight="1">
      <c r="M365" s="29"/>
    </row>
    <row r="366" ht="15.75" customHeight="1">
      <c r="M366" s="29"/>
    </row>
    <row r="367" ht="15.75" customHeight="1">
      <c r="M367" s="29"/>
    </row>
    <row r="368" ht="15.75" customHeight="1">
      <c r="M368" s="29"/>
    </row>
    <row r="369" ht="15.75" customHeight="1">
      <c r="M369" s="29"/>
    </row>
    <row r="370" ht="15.75" customHeight="1">
      <c r="M370" s="29"/>
    </row>
    <row r="371" ht="15.75" customHeight="1">
      <c r="M371" s="29"/>
    </row>
    <row r="372" ht="15.75" customHeight="1">
      <c r="M372" s="29"/>
    </row>
    <row r="373" ht="15.75" customHeight="1">
      <c r="M373" s="29"/>
    </row>
    <row r="374" ht="15.75" customHeight="1">
      <c r="M374" s="29"/>
    </row>
    <row r="375" ht="15.75" customHeight="1">
      <c r="M375" s="29"/>
    </row>
    <row r="376" ht="15.75" customHeight="1">
      <c r="M376" s="29"/>
    </row>
    <row r="377" ht="15.75" customHeight="1">
      <c r="M377" s="29"/>
    </row>
    <row r="378" ht="15.75" customHeight="1">
      <c r="M378" s="29"/>
    </row>
    <row r="379" ht="15.75" customHeight="1">
      <c r="M379" s="29"/>
    </row>
    <row r="380" ht="15.75" customHeight="1">
      <c r="M380" s="29"/>
    </row>
    <row r="381" ht="15.75" customHeight="1">
      <c r="M381" s="29"/>
    </row>
    <row r="382" ht="15.75" customHeight="1">
      <c r="M382" s="29"/>
    </row>
    <row r="383" ht="15.75" customHeight="1">
      <c r="M383" s="29"/>
    </row>
    <row r="384" ht="15.75" customHeight="1">
      <c r="M384" s="29"/>
    </row>
    <row r="385" ht="15.75" customHeight="1">
      <c r="M385" s="29"/>
    </row>
    <row r="386" ht="15.75" customHeight="1">
      <c r="M386" s="29"/>
    </row>
    <row r="387" ht="15.75" customHeight="1">
      <c r="M387" s="29"/>
    </row>
    <row r="388" ht="15.75" customHeight="1">
      <c r="M388" s="29"/>
    </row>
    <row r="389" ht="15.75" customHeight="1">
      <c r="M389" s="29"/>
    </row>
    <row r="390" ht="15.75" customHeight="1">
      <c r="M390" s="29"/>
    </row>
    <row r="391" ht="15.75" customHeight="1">
      <c r="M391" s="29"/>
    </row>
    <row r="392" ht="15.75" customHeight="1">
      <c r="M392" s="29"/>
    </row>
    <row r="393" ht="15.75" customHeight="1">
      <c r="M393" s="29"/>
    </row>
    <row r="394" ht="15.75" customHeight="1">
      <c r="M394" s="29"/>
    </row>
    <row r="395" ht="15.75" customHeight="1">
      <c r="M395" s="29"/>
    </row>
    <row r="396" ht="15.75" customHeight="1">
      <c r="M396" s="29"/>
    </row>
    <row r="397" ht="15.75" customHeight="1">
      <c r="M397" s="29"/>
    </row>
    <row r="398" ht="15.75" customHeight="1">
      <c r="M398" s="29"/>
    </row>
    <row r="399" ht="15.75" customHeight="1">
      <c r="M399" s="29"/>
    </row>
    <row r="400" ht="15.75" customHeight="1">
      <c r="M400" s="29"/>
    </row>
    <row r="401" ht="15.75" customHeight="1">
      <c r="M401" s="29"/>
    </row>
    <row r="402" ht="15.75" customHeight="1">
      <c r="M402" s="29"/>
    </row>
    <row r="403" ht="15.75" customHeight="1">
      <c r="M403" s="29"/>
    </row>
    <row r="404" ht="15.75" customHeight="1">
      <c r="M404" s="29"/>
    </row>
    <row r="405" ht="15.75" customHeight="1">
      <c r="M405" s="29"/>
    </row>
    <row r="406" ht="15.75" customHeight="1">
      <c r="M406" s="29"/>
    </row>
    <row r="407" ht="15.75" customHeight="1">
      <c r="M407" s="29"/>
    </row>
    <row r="408" ht="15.75" customHeight="1">
      <c r="M408" s="29"/>
    </row>
    <row r="409" ht="15.75" customHeight="1">
      <c r="M409" s="29"/>
    </row>
    <row r="410" ht="15.75" customHeight="1">
      <c r="M410" s="29"/>
    </row>
    <row r="411" ht="15.75" customHeight="1">
      <c r="M411" s="29"/>
    </row>
    <row r="412" ht="15.75" customHeight="1">
      <c r="M412" s="29"/>
    </row>
    <row r="413" ht="15.75" customHeight="1">
      <c r="M413" s="29"/>
    </row>
    <row r="414" ht="15.75" customHeight="1">
      <c r="M414" s="29"/>
    </row>
    <row r="415" ht="15.75" customHeight="1">
      <c r="M415" s="29"/>
    </row>
    <row r="416" ht="15.75" customHeight="1">
      <c r="M416" s="29"/>
    </row>
    <row r="417" ht="15.75" customHeight="1">
      <c r="M417" s="29"/>
    </row>
    <row r="418" ht="15.75" customHeight="1">
      <c r="M418" s="29"/>
    </row>
    <row r="419" ht="15.75" customHeight="1">
      <c r="M419" s="29"/>
    </row>
    <row r="420" ht="15.75" customHeight="1">
      <c r="M420" s="29"/>
    </row>
    <row r="421" ht="15.75" customHeight="1">
      <c r="M421" s="29"/>
    </row>
    <row r="422" ht="15.75" customHeight="1">
      <c r="M422" s="29"/>
    </row>
    <row r="423" ht="15.75" customHeight="1">
      <c r="M423" s="29"/>
    </row>
    <row r="424" ht="15.75" customHeight="1">
      <c r="M424" s="29"/>
    </row>
    <row r="425" ht="15.75" customHeight="1">
      <c r="M425" s="29"/>
    </row>
    <row r="426" ht="15.75" customHeight="1">
      <c r="M426" s="29"/>
    </row>
    <row r="427" ht="15.75" customHeight="1">
      <c r="M427" s="29"/>
    </row>
    <row r="428" ht="15.75" customHeight="1">
      <c r="M428" s="29"/>
    </row>
    <row r="429" ht="15.75" customHeight="1">
      <c r="M429" s="29"/>
    </row>
    <row r="430" ht="15.75" customHeight="1">
      <c r="M430" s="29"/>
    </row>
    <row r="431" ht="15.75" customHeight="1">
      <c r="M431" s="29"/>
    </row>
    <row r="432" ht="15.75" customHeight="1">
      <c r="M432" s="29"/>
    </row>
    <row r="433" ht="15.75" customHeight="1">
      <c r="M433" s="29"/>
    </row>
    <row r="434" ht="15.75" customHeight="1">
      <c r="M434" s="29"/>
    </row>
    <row r="435" ht="15.75" customHeight="1">
      <c r="M435" s="29"/>
    </row>
    <row r="436" ht="15.75" customHeight="1">
      <c r="M436" s="29"/>
    </row>
    <row r="437" ht="15.75" customHeight="1">
      <c r="M437" s="29"/>
    </row>
    <row r="438" ht="15.75" customHeight="1">
      <c r="M438" s="29"/>
    </row>
    <row r="439" ht="15.75" customHeight="1">
      <c r="M439" s="29"/>
    </row>
    <row r="440" ht="15.75" customHeight="1">
      <c r="M440" s="29"/>
    </row>
    <row r="441" ht="15.75" customHeight="1">
      <c r="M441" s="29"/>
    </row>
    <row r="442" ht="15.75" customHeight="1">
      <c r="M442" s="29"/>
    </row>
    <row r="443" ht="15.75" customHeight="1">
      <c r="M443" s="29"/>
    </row>
    <row r="444" ht="15.75" customHeight="1">
      <c r="M444" s="29"/>
    </row>
    <row r="445" ht="15.75" customHeight="1">
      <c r="M445" s="29"/>
    </row>
    <row r="446" ht="15.75" customHeight="1">
      <c r="M446" s="29"/>
    </row>
    <row r="447" ht="15.75" customHeight="1">
      <c r="M447" s="29"/>
    </row>
    <row r="448" ht="15.75" customHeight="1">
      <c r="M448" s="29"/>
    </row>
    <row r="449" ht="15.75" customHeight="1">
      <c r="M449" s="29"/>
    </row>
    <row r="450" ht="15.75" customHeight="1">
      <c r="M450" s="29"/>
    </row>
    <row r="451" ht="15.75" customHeight="1">
      <c r="M451" s="29"/>
    </row>
    <row r="452" ht="15.75" customHeight="1">
      <c r="M452" s="29"/>
    </row>
    <row r="453" ht="15.75" customHeight="1">
      <c r="M453" s="29"/>
    </row>
    <row r="454" ht="15.75" customHeight="1">
      <c r="M454" s="29"/>
    </row>
    <row r="455" ht="15.75" customHeight="1">
      <c r="M455" s="29"/>
    </row>
    <row r="456" ht="15.75" customHeight="1">
      <c r="M456" s="29"/>
    </row>
    <row r="457" ht="15.75" customHeight="1">
      <c r="M457" s="29"/>
    </row>
    <row r="458" ht="15.75" customHeight="1">
      <c r="M458" s="29"/>
    </row>
    <row r="459" ht="15.75" customHeight="1">
      <c r="M459" s="29"/>
    </row>
    <row r="460" ht="15.75" customHeight="1">
      <c r="M460" s="29"/>
    </row>
    <row r="461" ht="15.75" customHeight="1">
      <c r="M461" s="29"/>
    </row>
    <row r="462" ht="15.75" customHeight="1">
      <c r="M462" s="29"/>
    </row>
    <row r="463" ht="15.75" customHeight="1">
      <c r="M463" s="29"/>
    </row>
    <row r="464" ht="15.75" customHeight="1">
      <c r="M464" s="29"/>
    </row>
    <row r="465" ht="15.75" customHeight="1">
      <c r="M465" s="29"/>
    </row>
    <row r="466" ht="15.75" customHeight="1">
      <c r="M466" s="29"/>
    </row>
    <row r="467" ht="15.75" customHeight="1">
      <c r="M467" s="29"/>
    </row>
    <row r="468" ht="15.75" customHeight="1">
      <c r="M468" s="29"/>
    </row>
    <row r="469" ht="15.75" customHeight="1">
      <c r="M469" s="29"/>
    </row>
    <row r="470" ht="15.75" customHeight="1">
      <c r="M470" s="29"/>
    </row>
    <row r="471" ht="15.75" customHeight="1">
      <c r="M471" s="29"/>
    </row>
    <row r="472" ht="15.75" customHeight="1">
      <c r="M472" s="29"/>
    </row>
    <row r="473" ht="15.75" customHeight="1">
      <c r="M473" s="29"/>
    </row>
    <row r="474" ht="15.75" customHeight="1">
      <c r="M474" s="29"/>
    </row>
    <row r="475" ht="15.75" customHeight="1">
      <c r="M475" s="29"/>
    </row>
    <row r="476" ht="15.75" customHeight="1">
      <c r="M476" s="29"/>
    </row>
    <row r="477" ht="15.75" customHeight="1">
      <c r="M477" s="29"/>
    </row>
    <row r="478" ht="15.75" customHeight="1">
      <c r="M478" s="29"/>
    </row>
    <row r="479" ht="15.75" customHeight="1">
      <c r="M479" s="29"/>
    </row>
    <row r="480" ht="15.75" customHeight="1">
      <c r="M480" s="29"/>
    </row>
    <row r="481" ht="15.75" customHeight="1">
      <c r="M481" s="29"/>
    </row>
    <row r="482" ht="15.75" customHeight="1">
      <c r="M482" s="29"/>
    </row>
    <row r="483" ht="15.75" customHeight="1">
      <c r="M483" s="29"/>
    </row>
    <row r="484" ht="15.75" customHeight="1">
      <c r="M484" s="29"/>
    </row>
    <row r="485" ht="15.75" customHeight="1">
      <c r="M485" s="29"/>
    </row>
    <row r="486" ht="15.75" customHeight="1">
      <c r="M486" s="29"/>
    </row>
    <row r="487" ht="15.75" customHeight="1">
      <c r="M487" s="29"/>
    </row>
    <row r="488" ht="15.75" customHeight="1">
      <c r="M488" s="29"/>
    </row>
    <row r="489" ht="15.75" customHeight="1">
      <c r="M489" s="29"/>
    </row>
    <row r="490" ht="15.75" customHeight="1">
      <c r="M490" s="29"/>
    </row>
    <row r="491" ht="15.75" customHeight="1">
      <c r="M491" s="29"/>
    </row>
    <row r="492" ht="15.75" customHeight="1">
      <c r="M492" s="29"/>
    </row>
    <row r="493" ht="15.75" customHeight="1">
      <c r="M493" s="29"/>
    </row>
    <row r="494" ht="15.75" customHeight="1">
      <c r="M494" s="29"/>
    </row>
    <row r="495" ht="15.75" customHeight="1">
      <c r="M495" s="29"/>
    </row>
    <row r="496" ht="15.75" customHeight="1">
      <c r="M496" s="29"/>
    </row>
    <row r="497" ht="15.75" customHeight="1">
      <c r="M497" s="29"/>
    </row>
    <row r="498" ht="15.75" customHeight="1">
      <c r="M498" s="29"/>
    </row>
    <row r="499" ht="15.75" customHeight="1">
      <c r="M499" s="29"/>
    </row>
    <row r="500" ht="15.75" customHeight="1">
      <c r="M500" s="29"/>
    </row>
    <row r="501" ht="15.75" customHeight="1">
      <c r="M501" s="29"/>
    </row>
    <row r="502" ht="15.75" customHeight="1">
      <c r="M502" s="29"/>
    </row>
    <row r="503" ht="15.75" customHeight="1">
      <c r="M503" s="29"/>
    </row>
    <row r="504" ht="15.75" customHeight="1">
      <c r="M504" s="29"/>
    </row>
    <row r="505" ht="15.75" customHeight="1">
      <c r="M505" s="29"/>
    </row>
    <row r="506" ht="15.75" customHeight="1">
      <c r="M506" s="29"/>
    </row>
    <row r="507" ht="15.75" customHeight="1">
      <c r="M507" s="29"/>
    </row>
    <row r="508" ht="15.75" customHeight="1">
      <c r="M508" s="29"/>
    </row>
    <row r="509" ht="15.75" customHeight="1">
      <c r="M509" s="29"/>
    </row>
    <row r="510" ht="15.75" customHeight="1">
      <c r="M510" s="29"/>
    </row>
    <row r="511" ht="15.75" customHeight="1">
      <c r="M511" s="29"/>
    </row>
    <row r="512" ht="15.75" customHeight="1">
      <c r="M512" s="29"/>
    </row>
    <row r="513" ht="15.75" customHeight="1">
      <c r="M513" s="29"/>
    </row>
    <row r="514" ht="15.75" customHeight="1">
      <c r="M514" s="29"/>
    </row>
    <row r="515" ht="15.75" customHeight="1">
      <c r="M515" s="29"/>
    </row>
    <row r="516" ht="15.75" customHeight="1">
      <c r="M516" s="29"/>
    </row>
    <row r="517" ht="15.75" customHeight="1">
      <c r="M517" s="29"/>
    </row>
    <row r="518" ht="15.75" customHeight="1">
      <c r="M518" s="29"/>
    </row>
    <row r="519" ht="15.75" customHeight="1">
      <c r="M519" s="29"/>
    </row>
    <row r="520" ht="15.75" customHeight="1">
      <c r="M520" s="29"/>
    </row>
    <row r="521" ht="15.75" customHeight="1">
      <c r="M521" s="29"/>
    </row>
    <row r="522" ht="15.75" customHeight="1">
      <c r="M522" s="29"/>
    </row>
    <row r="523" ht="15.75" customHeight="1">
      <c r="M523" s="29"/>
    </row>
    <row r="524" ht="15.75" customHeight="1">
      <c r="M524" s="29"/>
    </row>
    <row r="525" ht="15.75" customHeight="1">
      <c r="M525" s="29"/>
    </row>
    <row r="526" ht="15.75" customHeight="1">
      <c r="M526" s="29"/>
    </row>
    <row r="527" ht="15.75" customHeight="1">
      <c r="M527" s="29"/>
    </row>
    <row r="528" ht="15.75" customHeight="1">
      <c r="M528" s="29"/>
    </row>
    <row r="529" ht="15.75" customHeight="1">
      <c r="M529" s="29"/>
    </row>
    <row r="530" ht="15.75" customHeight="1">
      <c r="M530" s="29"/>
    </row>
    <row r="531" ht="15.75" customHeight="1">
      <c r="M531" s="29"/>
    </row>
    <row r="532" ht="15.75" customHeight="1">
      <c r="M532" s="29"/>
    </row>
    <row r="533" ht="15.75" customHeight="1">
      <c r="M533" s="29"/>
    </row>
    <row r="534" ht="15.75" customHeight="1">
      <c r="M534" s="29"/>
    </row>
    <row r="535" ht="15.75" customHeight="1">
      <c r="M535" s="29"/>
    </row>
    <row r="536" ht="15.75" customHeight="1">
      <c r="M536" s="29"/>
    </row>
    <row r="537" ht="15.75" customHeight="1">
      <c r="M537" s="29"/>
    </row>
    <row r="538" ht="15.75" customHeight="1">
      <c r="M538" s="29"/>
    </row>
    <row r="539" ht="15.75" customHeight="1">
      <c r="M539" s="29"/>
    </row>
    <row r="540" ht="15.75" customHeight="1">
      <c r="M540" s="29"/>
    </row>
    <row r="541" ht="15.75" customHeight="1">
      <c r="M541" s="29"/>
    </row>
    <row r="542" ht="15.75" customHeight="1">
      <c r="M542" s="29"/>
    </row>
    <row r="543" ht="15.75" customHeight="1">
      <c r="M543" s="29"/>
    </row>
    <row r="544" ht="15.75" customHeight="1">
      <c r="M544" s="29"/>
    </row>
    <row r="545" ht="15.75" customHeight="1">
      <c r="M545" s="29"/>
    </row>
    <row r="546" ht="15.75" customHeight="1">
      <c r="M546" s="29"/>
    </row>
    <row r="547" ht="15.75" customHeight="1">
      <c r="M547" s="29"/>
    </row>
    <row r="548" ht="15.75" customHeight="1">
      <c r="M548" s="29"/>
    </row>
    <row r="549" ht="15.75" customHeight="1">
      <c r="M549" s="29"/>
    </row>
    <row r="550" ht="15.75" customHeight="1">
      <c r="M550" s="29"/>
    </row>
    <row r="551" ht="15.75" customHeight="1">
      <c r="M551" s="29"/>
    </row>
    <row r="552" ht="15.75" customHeight="1">
      <c r="M552" s="29"/>
    </row>
    <row r="553" ht="15.75" customHeight="1">
      <c r="M553" s="29"/>
    </row>
    <row r="554" ht="15.75" customHeight="1">
      <c r="M554" s="29"/>
    </row>
    <row r="555" ht="15.75" customHeight="1">
      <c r="M555" s="29"/>
    </row>
    <row r="556" ht="15.75" customHeight="1">
      <c r="M556" s="29"/>
    </row>
    <row r="557" ht="15.75" customHeight="1">
      <c r="M557" s="29"/>
    </row>
    <row r="558" ht="15.75" customHeight="1">
      <c r="M558" s="29"/>
    </row>
    <row r="559" ht="15.75" customHeight="1">
      <c r="M559" s="29"/>
    </row>
    <row r="560" ht="15.75" customHeight="1">
      <c r="M560" s="29"/>
    </row>
    <row r="561" ht="15.75" customHeight="1">
      <c r="M561" s="29"/>
    </row>
    <row r="562" ht="15.75" customHeight="1">
      <c r="M562" s="29"/>
    </row>
    <row r="563" ht="15.75" customHeight="1">
      <c r="M563" s="29"/>
    </row>
    <row r="564" ht="15.75" customHeight="1">
      <c r="M564" s="29"/>
    </row>
    <row r="565" ht="15.75" customHeight="1">
      <c r="M565" s="29"/>
    </row>
    <row r="566" ht="15.75" customHeight="1">
      <c r="M566" s="29"/>
    </row>
    <row r="567" ht="15.75" customHeight="1">
      <c r="M567" s="29"/>
    </row>
    <row r="568" ht="15.75" customHeight="1">
      <c r="M568" s="29"/>
    </row>
    <row r="569" ht="15.75" customHeight="1">
      <c r="M569" s="29"/>
    </row>
    <row r="570" ht="15.75" customHeight="1">
      <c r="M570" s="29"/>
    </row>
    <row r="571" ht="15.75" customHeight="1">
      <c r="M571" s="29"/>
    </row>
    <row r="572" ht="15.75" customHeight="1">
      <c r="M572" s="29"/>
    </row>
    <row r="573" ht="15.75" customHeight="1">
      <c r="M573" s="29"/>
    </row>
    <row r="574" ht="15.75" customHeight="1">
      <c r="M574" s="29"/>
    </row>
    <row r="575" ht="15.75" customHeight="1">
      <c r="M575" s="29"/>
    </row>
    <row r="576" ht="15.75" customHeight="1">
      <c r="M576" s="29"/>
    </row>
    <row r="577" ht="15.75" customHeight="1">
      <c r="M577" s="29"/>
    </row>
    <row r="578" ht="15.75" customHeight="1">
      <c r="M578" s="29"/>
    </row>
    <row r="579" ht="15.75" customHeight="1">
      <c r="M579" s="29"/>
    </row>
    <row r="580" ht="15.75" customHeight="1">
      <c r="M580" s="29"/>
    </row>
    <row r="581" ht="15.75" customHeight="1">
      <c r="M581" s="29"/>
    </row>
    <row r="582" ht="15.75" customHeight="1">
      <c r="M582" s="29"/>
    </row>
    <row r="583" ht="15.75" customHeight="1">
      <c r="M583" s="29"/>
    </row>
    <row r="584" ht="15.75" customHeight="1">
      <c r="M584" s="29"/>
    </row>
    <row r="585" ht="15.75" customHeight="1">
      <c r="M585" s="29"/>
    </row>
    <row r="586" ht="15.75" customHeight="1">
      <c r="M586" s="29"/>
    </row>
    <row r="587" ht="15.75" customHeight="1">
      <c r="M587" s="29"/>
    </row>
    <row r="588" ht="15.75" customHeight="1">
      <c r="M588" s="29"/>
    </row>
    <row r="589" ht="15.75" customHeight="1">
      <c r="M589" s="29"/>
    </row>
    <row r="590" ht="15.75" customHeight="1">
      <c r="M590" s="29"/>
    </row>
    <row r="591" ht="15.75" customHeight="1">
      <c r="M591" s="29"/>
    </row>
    <row r="592" ht="15.75" customHeight="1">
      <c r="M592" s="29"/>
    </row>
    <row r="593" ht="15.75" customHeight="1">
      <c r="M593" s="29"/>
    </row>
    <row r="594" ht="15.75" customHeight="1">
      <c r="M594" s="29"/>
    </row>
    <row r="595" ht="15.75" customHeight="1">
      <c r="M595" s="29"/>
    </row>
    <row r="596" ht="15.75" customHeight="1">
      <c r="M596" s="29"/>
    </row>
    <row r="597" ht="15.75" customHeight="1">
      <c r="M597" s="29"/>
    </row>
    <row r="598" ht="15.75" customHeight="1">
      <c r="M598" s="29"/>
    </row>
    <row r="599" ht="15.75" customHeight="1">
      <c r="M599" s="29"/>
    </row>
    <row r="600" ht="15.75" customHeight="1">
      <c r="M600" s="29"/>
    </row>
    <row r="601" ht="15.75" customHeight="1">
      <c r="M601" s="29"/>
    </row>
    <row r="602" ht="15.75" customHeight="1">
      <c r="M602" s="29"/>
    </row>
    <row r="603" ht="15.75" customHeight="1">
      <c r="M603" s="29"/>
    </row>
    <row r="604" ht="15.75" customHeight="1">
      <c r="M604" s="29"/>
    </row>
    <row r="605" ht="15.75" customHeight="1">
      <c r="M605" s="29"/>
    </row>
    <row r="606" ht="15.75" customHeight="1">
      <c r="M606" s="29"/>
    </row>
    <row r="607" ht="15.75" customHeight="1">
      <c r="M607" s="29"/>
    </row>
    <row r="608" ht="15.75" customHeight="1">
      <c r="M608" s="29"/>
    </row>
    <row r="609" ht="15.75" customHeight="1">
      <c r="M609" s="29"/>
    </row>
    <row r="610" ht="15.75" customHeight="1">
      <c r="M610" s="29"/>
    </row>
    <row r="611" ht="15.75" customHeight="1">
      <c r="M611" s="29"/>
    </row>
    <row r="612" ht="15.75" customHeight="1">
      <c r="M612" s="29"/>
    </row>
    <row r="613" ht="15.75" customHeight="1">
      <c r="M613" s="29"/>
    </row>
    <row r="614" ht="15.75" customHeight="1">
      <c r="M614" s="29"/>
    </row>
    <row r="615" ht="15.75" customHeight="1">
      <c r="M615" s="29"/>
    </row>
    <row r="616" ht="15.75" customHeight="1">
      <c r="M616" s="29"/>
    </row>
    <row r="617" ht="15.75" customHeight="1">
      <c r="M617" s="29"/>
    </row>
    <row r="618" ht="15.75" customHeight="1">
      <c r="M618" s="29"/>
    </row>
    <row r="619" ht="15.75" customHeight="1">
      <c r="M619" s="29"/>
    </row>
    <row r="620" ht="15.75" customHeight="1">
      <c r="M620" s="29"/>
    </row>
    <row r="621" ht="15.75" customHeight="1">
      <c r="M621" s="29"/>
    </row>
    <row r="622" ht="15.75" customHeight="1">
      <c r="M622" s="29"/>
    </row>
    <row r="623" ht="15.75" customHeight="1">
      <c r="M623" s="29"/>
    </row>
    <row r="624" ht="15.75" customHeight="1">
      <c r="M624" s="29"/>
    </row>
    <row r="625" ht="15.75" customHeight="1">
      <c r="M625" s="29"/>
    </row>
    <row r="626" ht="15.75" customHeight="1">
      <c r="M626" s="29"/>
    </row>
    <row r="627" ht="15.75" customHeight="1">
      <c r="M627" s="29"/>
    </row>
    <row r="628" ht="15.75" customHeight="1">
      <c r="M628" s="29"/>
    </row>
    <row r="629" ht="15.75" customHeight="1">
      <c r="M629" s="29"/>
    </row>
    <row r="630" ht="15.75" customHeight="1">
      <c r="M630" s="29"/>
    </row>
    <row r="631" ht="15.75" customHeight="1">
      <c r="M631" s="29"/>
    </row>
    <row r="632" ht="15.75" customHeight="1">
      <c r="M632" s="29"/>
    </row>
    <row r="633" ht="15.75" customHeight="1">
      <c r="M633" s="29"/>
    </row>
    <row r="634" ht="15.75" customHeight="1">
      <c r="M634" s="29"/>
    </row>
    <row r="635" ht="15.75" customHeight="1">
      <c r="M635" s="29"/>
    </row>
    <row r="636" ht="15.75" customHeight="1">
      <c r="M636" s="29"/>
    </row>
    <row r="637" ht="15.75" customHeight="1">
      <c r="M637" s="29"/>
    </row>
    <row r="638" ht="15.75" customHeight="1">
      <c r="M638" s="29"/>
    </row>
    <row r="639" ht="15.75" customHeight="1">
      <c r="M639" s="29"/>
    </row>
    <row r="640" ht="15.75" customHeight="1">
      <c r="M640" s="29"/>
    </row>
    <row r="641" ht="15.75" customHeight="1">
      <c r="M641" s="29"/>
    </row>
    <row r="642" ht="15.75" customHeight="1">
      <c r="M642" s="29"/>
    </row>
    <row r="643" ht="15.75" customHeight="1">
      <c r="M643" s="29"/>
    </row>
    <row r="644" ht="15.75" customHeight="1">
      <c r="M644" s="29"/>
    </row>
    <row r="645" ht="15.75" customHeight="1">
      <c r="M645" s="29"/>
    </row>
    <row r="646" ht="15.75" customHeight="1">
      <c r="M646" s="29"/>
    </row>
    <row r="647" ht="15.75" customHeight="1">
      <c r="M647" s="29"/>
    </row>
    <row r="648" ht="15.75" customHeight="1">
      <c r="M648" s="29"/>
    </row>
    <row r="649" ht="15.75" customHeight="1">
      <c r="M649" s="29"/>
    </row>
    <row r="650" ht="15.75" customHeight="1">
      <c r="M650" s="29"/>
    </row>
    <row r="651" ht="15.75" customHeight="1">
      <c r="M651" s="29"/>
    </row>
    <row r="652" ht="15.75" customHeight="1">
      <c r="M652" s="29"/>
    </row>
    <row r="653" ht="15.75" customHeight="1">
      <c r="M653" s="29"/>
    </row>
    <row r="654" ht="15.75" customHeight="1">
      <c r="M654" s="29"/>
    </row>
    <row r="655" ht="15.75" customHeight="1">
      <c r="M655" s="29"/>
    </row>
    <row r="656" ht="15.75" customHeight="1">
      <c r="M656" s="29"/>
    </row>
    <row r="657" ht="15.75" customHeight="1">
      <c r="M657" s="29"/>
    </row>
    <row r="658" ht="15.75" customHeight="1">
      <c r="M658" s="29"/>
    </row>
    <row r="659" ht="15.75" customHeight="1">
      <c r="M659" s="29"/>
    </row>
    <row r="660" ht="15.75" customHeight="1">
      <c r="M660" s="29"/>
    </row>
    <row r="661" ht="15.75" customHeight="1">
      <c r="M661" s="29"/>
    </row>
    <row r="662" ht="15.75" customHeight="1">
      <c r="M662" s="29"/>
    </row>
    <row r="663" ht="15.75" customHeight="1">
      <c r="M663" s="29"/>
    </row>
    <row r="664" ht="15.75" customHeight="1">
      <c r="M664" s="29"/>
    </row>
    <row r="665" ht="15.75" customHeight="1">
      <c r="M665" s="29"/>
    </row>
    <row r="666" ht="15.75" customHeight="1">
      <c r="M666" s="29"/>
    </row>
    <row r="667" ht="15.75" customHeight="1">
      <c r="M667" s="29"/>
    </row>
    <row r="668" ht="15.75" customHeight="1">
      <c r="M668" s="29"/>
    </row>
    <row r="669" ht="15.75" customHeight="1">
      <c r="M669" s="29"/>
    </row>
    <row r="670" ht="15.75" customHeight="1">
      <c r="M670" s="29"/>
    </row>
    <row r="671" ht="15.75" customHeight="1">
      <c r="M671" s="29"/>
    </row>
    <row r="672" ht="15.75" customHeight="1">
      <c r="M672" s="29"/>
    </row>
    <row r="673" ht="15.75" customHeight="1">
      <c r="M673" s="29"/>
    </row>
    <row r="674" ht="15.75" customHeight="1">
      <c r="M674" s="29"/>
    </row>
    <row r="675" ht="15.75" customHeight="1">
      <c r="M675" s="29"/>
    </row>
    <row r="676" ht="15.75" customHeight="1">
      <c r="M676" s="29"/>
    </row>
    <row r="677" ht="15.75" customHeight="1">
      <c r="M677" s="29"/>
    </row>
    <row r="678" ht="15.75" customHeight="1">
      <c r="M678" s="29"/>
    </row>
    <row r="679" ht="15.75" customHeight="1">
      <c r="M679" s="29"/>
    </row>
    <row r="680" ht="15.75" customHeight="1">
      <c r="M680" s="29"/>
    </row>
    <row r="681" ht="15.75" customHeight="1">
      <c r="M681" s="29"/>
    </row>
    <row r="682" ht="15.75" customHeight="1">
      <c r="M682" s="29"/>
    </row>
    <row r="683" ht="15.75" customHeight="1">
      <c r="M683" s="29"/>
    </row>
    <row r="684" ht="15.75" customHeight="1">
      <c r="M684" s="29"/>
    </row>
    <row r="685" ht="15.75" customHeight="1">
      <c r="M685" s="29"/>
    </row>
    <row r="686" ht="15.75" customHeight="1">
      <c r="M686" s="29"/>
    </row>
    <row r="687" ht="15.75" customHeight="1">
      <c r="M687" s="29"/>
    </row>
    <row r="688" ht="15.75" customHeight="1">
      <c r="M688" s="29"/>
    </row>
    <row r="689" ht="15.75" customHeight="1">
      <c r="M689" s="29"/>
    </row>
    <row r="690" ht="15.75" customHeight="1">
      <c r="M690" s="29"/>
    </row>
    <row r="691" ht="15.75" customHeight="1">
      <c r="M691" s="29"/>
    </row>
    <row r="692" ht="15.75" customHeight="1">
      <c r="M692" s="29"/>
    </row>
    <row r="693" ht="15.75" customHeight="1">
      <c r="M693" s="29"/>
    </row>
    <row r="694" ht="15.75" customHeight="1">
      <c r="M694" s="29"/>
    </row>
    <row r="695" ht="15.75" customHeight="1">
      <c r="M695" s="29"/>
    </row>
    <row r="696" ht="15.75" customHeight="1">
      <c r="M696" s="29"/>
    </row>
    <row r="697" ht="15.75" customHeight="1">
      <c r="M697" s="29"/>
    </row>
    <row r="698" ht="15.75" customHeight="1">
      <c r="M698" s="29"/>
    </row>
    <row r="699" ht="15.75" customHeight="1">
      <c r="M699" s="29"/>
    </row>
    <row r="700" ht="15.75" customHeight="1">
      <c r="M700" s="29"/>
    </row>
    <row r="701" ht="15.75" customHeight="1">
      <c r="M701" s="29"/>
    </row>
    <row r="702" ht="15.75" customHeight="1">
      <c r="M702" s="29"/>
    </row>
    <row r="703" ht="15.75" customHeight="1">
      <c r="M703" s="29"/>
    </row>
    <row r="704" ht="15.75" customHeight="1">
      <c r="M704" s="29"/>
    </row>
    <row r="705" ht="15.75" customHeight="1">
      <c r="M705" s="29"/>
    </row>
    <row r="706" ht="15.75" customHeight="1">
      <c r="M706" s="29"/>
    </row>
    <row r="707" ht="15.75" customHeight="1">
      <c r="M707" s="29"/>
    </row>
    <row r="708" ht="15.75" customHeight="1">
      <c r="M708" s="29"/>
    </row>
    <row r="709" ht="15.75" customHeight="1">
      <c r="M709" s="29"/>
    </row>
    <row r="710" ht="15.75" customHeight="1">
      <c r="M710" s="29"/>
    </row>
    <row r="711" ht="15.75" customHeight="1">
      <c r="M711" s="29"/>
    </row>
    <row r="712" ht="15.75" customHeight="1">
      <c r="M712" s="29"/>
    </row>
    <row r="713" ht="15.75" customHeight="1">
      <c r="M713" s="29"/>
    </row>
    <row r="714" ht="15.75" customHeight="1">
      <c r="M714" s="29"/>
    </row>
    <row r="715" ht="15.75" customHeight="1">
      <c r="M715" s="29"/>
    </row>
    <row r="716" ht="15.75" customHeight="1">
      <c r="M716" s="29"/>
    </row>
    <row r="717" ht="15.75" customHeight="1">
      <c r="M717" s="29"/>
    </row>
    <row r="718" ht="15.75" customHeight="1">
      <c r="M718" s="29"/>
    </row>
    <row r="719" ht="15.75" customHeight="1">
      <c r="M719" s="29"/>
    </row>
    <row r="720" ht="15.75" customHeight="1">
      <c r="M720" s="29"/>
    </row>
    <row r="721" ht="15.75" customHeight="1">
      <c r="M721" s="29"/>
    </row>
    <row r="722" ht="15.75" customHeight="1">
      <c r="M722" s="29"/>
    </row>
    <row r="723" ht="15.75" customHeight="1">
      <c r="M723" s="29"/>
    </row>
    <row r="724" ht="15.75" customHeight="1">
      <c r="M724" s="29"/>
    </row>
    <row r="725" ht="15.75" customHeight="1">
      <c r="M725" s="29"/>
    </row>
    <row r="726" ht="15.75" customHeight="1">
      <c r="M726" s="29"/>
    </row>
    <row r="727" ht="15.75" customHeight="1">
      <c r="M727" s="29"/>
    </row>
    <row r="728" ht="15.75" customHeight="1">
      <c r="M728" s="29"/>
    </row>
    <row r="729" ht="15.75" customHeight="1">
      <c r="M729" s="29"/>
    </row>
    <row r="730" ht="15.75" customHeight="1">
      <c r="M730" s="29"/>
    </row>
    <row r="731" ht="15.75" customHeight="1">
      <c r="M731" s="29"/>
    </row>
    <row r="732" ht="15.75" customHeight="1">
      <c r="M732" s="29"/>
    </row>
    <row r="733" ht="15.75" customHeight="1">
      <c r="M733" s="29"/>
    </row>
    <row r="734" ht="15.75" customHeight="1">
      <c r="M734" s="29"/>
    </row>
    <row r="735" ht="15.75" customHeight="1">
      <c r="M735" s="29"/>
    </row>
    <row r="736" ht="15.75" customHeight="1">
      <c r="M736" s="29"/>
    </row>
    <row r="737" ht="15.75" customHeight="1">
      <c r="M737" s="29"/>
    </row>
    <row r="738" ht="15.75" customHeight="1">
      <c r="M738" s="29"/>
    </row>
    <row r="739" ht="15.75" customHeight="1">
      <c r="M739" s="29"/>
    </row>
    <row r="740" ht="15.75" customHeight="1">
      <c r="M740" s="29"/>
    </row>
    <row r="741" ht="15.75" customHeight="1">
      <c r="M741" s="29"/>
    </row>
    <row r="742" ht="15.75" customHeight="1">
      <c r="M742" s="29"/>
    </row>
    <row r="743" ht="15.75" customHeight="1">
      <c r="M743" s="29"/>
    </row>
    <row r="744" ht="15.75" customHeight="1">
      <c r="M744" s="29"/>
    </row>
    <row r="745" ht="15.75" customHeight="1">
      <c r="M745" s="29"/>
    </row>
    <row r="746" ht="15.75" customHeight="1">
      <c r="M746" s="29"/>
    </row>
    <row r="747" ht="15.75" customHeight="1">
      <c r="M747" s="29"/>
    </row>
    <row r="748" ht="15.75" customHeight="1">
      <c r="M748" s="29"/>
    </row>
    <row r="749" ht="15.75" customHeight="1">
      <c r="M749" s="29"/>
    </row>
    <row r="750" ht="15.75" customHeight="1">
      <c r="M750" s="29"/>
    </row>
    <row r="751" ht="15.75" customHeight="1">
      <c r="M751" s="29"/>
    </row>
    <row r="752" ht="15.75" customHeight="1">
      <c r="M752" s="29"/>
    </row>
    <row r="753" ht="15.75" customHeight="1">
      <c r="M753" s="29"/>
    </row>
    <row r="754" ht="15.75" customHeight="1">
      <c r="M754" s="29"/>
    </row>
    <row r="755" ht="15.75" customHeight="1">
      <c r="M755" s="29"/>
    </row>
    <row r="756" ht="15.75" customHeight="1">
      <c r="M756" s="29"/>
    </row>
    <row r="757" ht="15.75" customHeight="1">
      <c r="M757" s="29"/>
    </row>
    <row r="758" ht="15.75" customHeight="1">
      <c r="M758" s="29"/>
    </row>
    <row r="759" ht="15.75" customHeight="1">
      <c r="M759" s="29"/>
    </row>
    <row r="760" ht="15.75" customHeight="1">
      <c r="M760" s="29"/>
    </row>
    <row r="761" ht="15.75" customHeight="1">
      <c r="M761" s="29"/>
    </row>
    <row r="762" ht="15.75" customHeight="1">
      <c r="M762" s="29"/>
    </row>
    <row r="763" ht="15.75" customHeight="1">
      <c r="M763" s="29"/>
    </row>
    <row r="764" ht="15.75" customHeight="1">
      <c r="M764" s="29"/>
    </row>
    <row r="765" ht="15.75" customHeight="1">
      <c r="M765" s="29"/>
    </row>
    <row r="766" ht="15.75" customHeight="1">
      <c r="M766" s="29"/>
    </row>
    <row r="767" ht="15.75" customHeight="1">
      <c r="M767" s="29"/>
    </row>
    <row r="768" ht="15.75" customHeight="1">
      <c r="M768" s="29"/>
    </row>
    <row r="769" ht="15.75" customHeight="1">
      <c r="M769" s="29"/>
    </row>
    <row r="770" ht="15.75" customHeight="1">
      <c r="M770" s="29"/>
    </row>
    <row r="771" ht="15.75" customHeight="1">
      <c r="M771" s="29"/>
    </row>
    <row r="772" ht="15.75" customHeight="1">
      <c r="M772" s="29"/>
    </row>
    <row r="773" ht="15.75" customHeight="1">
      <c r="M773" s="29"/>
    </row>
    <row r="774" ht="15.75" customHeight="1">
      <c r="M774" s="29"/>
    </row>
    <row r="775" ht="15.75" customHeight="1">
      <c r="M775" s="29"/>
    </row>
    <row r="776" ht="15.75" customHeight="1">
      <c r="M776" s="29"/>
    </row>
    <row r="777" ht="15.75" customHeight="1">
      <c r="M777" s="29"/>
    </row>
    <row r="778" ht="15.75" customHeight="1">
      <c r="M778" s="29"/>
    </row>
    <row r="779" ht="15.75" customHeight="1">
      <c r="M779" s="29"/>
    </row>
    <row r="780" ht="15.75" customHeight="1">
      <c r="M780" s="29"/>
    </row>
    <row r="781" ht="15.75" customHeight="1">
      <c r="M781" s="29"/>
    </row>
    <row r="782" ht="15.75" customHeight="1">
      <c r="M782" s="29"/>
    </row>
    <row r="783" ht="15.75" customHeight="1">
      <c r="M783" s="29"/>
    </row>
    <row r="784" ht="15.75" customHeight="1">
      <c r="M784" s="29"/>
    </row>
    <row r="785" ht="15.75" customHeight="1">
      <c r="M785" s="29"/>
    </row>
    <row r="786" ht="15.75" customHeight="1">
      <c r="M786" s="29"/>
    </row>
    <row r="787" ht="15.75" customHeight="1">
      <c r="M787" s="29"/>
    </row>
    <row r="788" ht="15.75" customHeight="1">
      <c r="M788" s="29"/>
    </row>
    <row r="789" ht="15.75" customHeight="1">
      <c r="M789" s="29"/>
    </row>
    <row r="790" ht="15.75" customHeight="1">
      <c r="M790" s="29"/>
    </row>
    <row r="791" ht="15.75" customHeight="1">
      <c r="M791" s="29"/>
    </row>
    <row r="792" ht="15.75" customHeight="1">
      <c r="M792" s="29"/>
    </row>
    <row r="793" ht="15.75" customHeight="1">
      <c r="M793" s="29"/>
    </row>
    <row r="794" ht="15.75" customHeight="1">
      <c r="M794" s="29"/>
    </row>
    <row r="795" ht="15.75" customHeight="1">
      <c r="M795" s="29"/>
    </row>
    <row r="796" ht="15.75" customHeight="1">
      <c r="M796" s="29"/>
    </row>
    <row r="797" ht="15.75" customHeight="1">
      <c r="M797" s="29"/>
    </row>
    <row r="798" ht="15.75" customHeight="1">
      <c r="M798" s="29"/>
    </row>
    <row r="799" ht="15.75" customHeight="1">
      <c r="M799" s="29"/>
    </row>
    <row r="800" ht="15.75" customHeight="1">
      <c r="M800" s="29"/>
    </row>
    <row r="801" ht="15.75" customHeight="1">
      <c r="M801" s="29"/>
    </row>
    <row r="802" ht="15.75" customHeight="1">
      <c r="M802" s="29"/>
    </row>
    <row r="803" ht="15.75" customHeight="1">
      <c r="M803" s="29"/>
    </row>
    <row r="804" ht="15.75" customHeight="1">
      <c r="M804" s="29"/>
    </row>
    <row r="805" ht="15.75" customHeight="1">
      <c r="M805" s="29"/>
    </row>
    <row r="806" ht="15.75" customHeight="1">
      <c r="M806" s="29"/>
    </row>
    <row r="807" ht="15.75" customHeight="1">
      <c r="M807" s="29"/>
    </row>
    <row r="808" ht="15.75" customHeight="1">
      <c r="M808" s="29"/>
    </row>
    <row r="809" ht="15.75" customHeight="1">
      <c r="M809" s="29"/>
    </row>
    <row r="810" ht="15.75" customHeight="1">
      <c r="M810" s="29"/>
    </row>
    <row r="811" ht="15.75" customHeight="1">
      <c r="M811" s="29"/>
    </row>
    <row r="812" ht="15.75" customHeight="1">
      <c r="M812" s="29"/>
    </row>
    <row r="813" ht="15.75" customHeight="1">
      <c r="M813" s="29"/>
    </row>
    <row r="814" ht="15.75" customHeight="1">
      <c r="M814" s="29"/>
    </row>
    <row r="815" ht="15.75" customHeight="1">
      <c r="M815" s="29"/>
    </row>
    <row r="816" ht="15.75" customHeight="1">
      <c r="M816" s="29"/>
    </row>
    <row r="817" ht="15.75" customHeight="1">
      <c r="M817" s="29"/>
    </row>
    <row r="818" ht="15.75" customHeight="1">
      <c r="M818" s="29"/>
    </row>
    <row r="819" ht="15.75" customHeight="1">
      <c r="M819" s="29"/>
    </row>
    <row r="820" ht="15.75" customHeight="1">
      <c r="M820" s="29"/>
    </row>
    <row r="821" ht="15.75" customHeight="1">
      <c r="M821" s="29"/>
    </row>
    <row r="822" ht="15.75" customHeight="1">
      <c r="M822" s="29"/>
    </row>
    <row r="823" ht="15.75" customHeight="1">
      <c r="M823" s="29"/>
    </row>
    <row r="824" ht="15.75" customHeight="1">
      <c r="M824" s="29"/>
    </row>
    <row r="825" ht="15.75" customHeight="1">
      <c r="M825" s="29"/>
    </row>
    <row r="826" ht="15.75" customHeight="1">
      <c r="M826" s="29"/>
    </row>
    <row r="827" ht="15.75" customHeight="1">
      <c r="M827" s="29"/>
    </row>
    <row r="828" ht="15.75" customHeight="1">
      <c r="M828" s="29"/>
    </row>
    <row r="829" ht="15.75" customHeight="1">
      <c r="M829" s="29"/>
    </row>
    <row r="830" ht="15.75" customHeight="1">
      <c r="M830" s="29"/>
    </row>
    <row r="831" ht="15.75" customHeight="1">
      <c r="M831" s="29"/>
    </row>
    <row r="832" ht="15.75" customHeight="1">
      <c r="M832" s="29"/>
    </row>
    <row r="833" ht="15.75" customHeight="1">
      <c r="M833" s="29"/>
    </row>
    <row r="834" ht="15.75" customHeight="1">
      <c r="M834" s="29"/>
    </row>
    <row r="835" ht="15.75" customHeight="1">
      <c r="M835" s="29"/>
    </row>
    <row r="836" ht="15.75" customHeight="1">
      <c r="M836" s="29"/>
    </row>
    <row r="837" ht="15.75" customHeight="1">
      <c r="M837" s="29"/>
    </row>
    <row r="838" ht="15.75" customHeight="1">
      <c r="M838" s="29"/>
    </row>
    <row r="839" ht="15.75" customHeight="1">
      <c r="M839" s="29"/>
    </row>
    <row r="840" ht="15.75" customHeight="1">
      <c r="M840" s="29"/>
    </row>
    <row r="841" ht="15.75" customHeight="1">
      <c r="M841" s="29"/>
    </row>
    <row r="842" ht="15.75" customHeight="1">
      <c r="M842" s="29"/>
    </row>
    <row r="843" ht="15.75" customHeight="1">
      <c r="M843" s="29"/>
    </row>
    <row r="844" ht="15.75" customHeight="1">
      <c r="M844" s="29"/>
    </row>
    <row r="845" ht="15.75" customHeight="1">
      <c r="M845" s="29"/>
    </row>
    <row r="846" ht="15.75" customHeight="1">
      <c r="M846" s="29"/>
    </row>
    <row r="847" ht="15.75" customHeight="1">
      <c r="M847" s="29"/>
    </row>
    <row r="848" ht="15.75" customHeight="1">
      <c r="M848" s="29"/>
    </row>
    <row r="849" ht="15.75" customHeight="1">
      <c r="M849" s="29"/>
    </row>
    <row r="850" ht="15.75" customHeight="1">
      <c r="M850" s="29"/>
    </row>
    <row r="851" ht="15.75" customHeight="1">
      <c r="M851" s="29"/>
    </row>
    <row r="852" ht="15.75" customHeight="1">
      <c r="M852" s="29"/>
    </row>
    <row r="853" ht="15.75" customHeight="1">
      <c r="M853" s="29"/>
    </row>
    <row r="854" ht="15.75" customHeight="1">
      <c r="M854" s="29"/>
    </row>
    <row r="855" ht="15.75" customHeight="1">
      <c r="M855" s="29"/>
    </row>
    <row r="856" ht="15.75" customHeight="1">
      <c r="M856" s="29"/>
    </row>
    <row r="857" ht="15.75" customHeight="1">
      <c r="M857" s="29"/>
    </row>
    <row r="858" ht="15.75" customHeight="1">
      <c r="M858" s="29"/>
    </row>
    <row r="859" ht="15.75" customHeight="1">
      <c r="M859" s="29"/>
    </row>
    <row r="860" ht="15.75" customHeight="1">
      <c r="M860" s="29"/>
    </row>
    <row r="861" ht="15.75" customHeight="1">
      <c r="M861" s="29"/>
    </row>
    <row r="862" ht="15.75" customHeight="1">
      <c r="M862" s="29"/>
    </row>
    <row r="863" ht="15.75" customHeight="1">
      <c r="M863" s="29"/>
    </row>
    <row r="864" ht="15.75" customHeight="1">
      <c r="M864" s="29"/>
    </row>
    <row r="865" ht="15.75" customHeight="1">
      <c r="M865" s="29"/>
    </row>
    <row r="866" ht="15.75" customHeight="1">
      <c r="M866" s="29"/>
    </row>
    <row r="867" ht="15.75" customHeight="1">
      <c r="M867" s="29"/>
    </row>
    <row r="868" ht="15.75" customHeight="1">
      <c r="M868" s="29"/>
    </row>
    <row r="869" ht="15.75" customHeight="1">
      <c r="M869" s="29"/>
    </row>
    <row r="870" ht="15.75" customHeight="1">
      <c r="M870" s="29"/>
    </row>
    <row r="871" ht="15.75" customHeight="1">
      <c r="M871" s="29"/>
    </row>
    <row r="872" ht="15.75" customHeight="1">
      <c r="M872" s="29"/>
    </row>
    <row r="873" ht="15.75" customHeight="1">
      <c r="M873" s="29"/>
    </row>
    <row r="874" ht="15.75" customHeight="1">
      <c r="M874" s="29"/>
    </row>
    <row r="875" ht="15.75" customHeight="1">
      <c r="M875" s="29"/>
    </row>
    <row r="876" ht="15.75" customHeight="1">
      <c r="M876" s="29"/>
    </row>
    <row r="877" ht="15.75" customHeight="1">
      <c r="M877" s="29"/>
    </row>
    <row r="878" ht="15.75" customHeight="1">
      <c r="M878" s="29"/>
    </row>
    <row r="879" ht="15.75" customHeight="1">
      <c r="M879" s="29"/>
    </row>
    <row r="880" ht="15.75" customHeight="1">
      <c r="M880" s="29"/>
    </row>
    <row r="881" ht="15.75" customHeight="1">
      <c r="M881" s="29"/>
    </row>
    <row r="882" ht="15.75" customHeight="1">
      <c r="M882" s="29"/>
    </row>
    <row r="883" ht="15.75" customHeight="1">
      <c r="M883" s="29"/>
    </row>
    <row r="884" ht="15.75" customHeight="1">
      <c r="M884" s="29"/>
    </row>
    <row r="885" ht="15.75" customHeight="1">
      <c r="M885" s="29"/>
    </row>
    <row r="886" ht="15.75" customHeight="1">
      <c r="M886" s="29"/>
    </row>
    <row r="887" ht="15.75" customHeight="1">
      <c r="M887" s="29"/>
    </row>
    <row r="888" ht="15.75" customHeight="1">
      <c r="M888" s="29"/>
    </row>
    <row r="889" ht="15.75" customHeight="1">
      <c r="M889" s="29"/>
    </row>
    <row r="890" ht="15.75" customHeight="1">
      <c r="M890" s="29"/>
    </row>
    <row r="891" ht="15.75" customHeight="1">
      <c r="M891" s="29"/>
    </row>
    <row r="892" ht="15.75" customHeight="1">
      <c r="M892" s="29"/>
    </row>
    <row r="893" ht="15.75" customHeight="1">
      <c r="M893" s="29"/>
    </row>
    <row r="894" ht="15.75" customHeight="1">
      <c r="M894" s="29"/>
    </row>
    <row r="895" ht="15.75" customHeight="1">
      <c r="M895" s="29"/>
    </row>
    <row r="896" ht="15.75" customHeight="1">
      <c r="M896" s="29"/>
    </row>
    <row r="897" ht="15.75" customHeight="1">
      <c r="M897" s="29"/>
    </row>
    <row r="898" ht="15.75" customHeight="1">
      <c r="M898" s="29"/>
    </row>
    <row r="899" ht="15.75" customHeight="1">
      <c r="M899" s="29"/>
    </row>
    <row r="900" ht="15.75" customHeight="1">
      <c r="M900" s="29"/>
    </row>
    <row r="901" ht="15.75" customHeight="1">
      <c r="M901" s="29"/>
    </row>
    <row r="902" ht="15.75" customHeight="1">
      <c r="M902" s="29"/>
    </row>
    <row r="903" ht="15.75" customHeight="1">
      <c r="M903" s="29"/>
    </row>
    <row r="904" ht="15.75" customHeight="1">
      <c r="M904" s="29"/>
    </row>
    <row r="905" ht="15.75" customHeight="1">
      <c r="M905" s="29"/>
    </row>
    <row r="906" ht="15.75" customHeight="1">
      <c r="M906" s="29"/>
    </row>
    <row r="907" ht="15.75" customHeight="1">
      <c r="M907" s="29"/>
    </row>
    <row r="908" ht="15.75" customHeight="1">
      <c r="M908" s="29"/>
    </row>
    <row r="909" ht="15.75" customHeight="1">
      <c r="M909" s="29"/>
    </row>
    <row r="910" ht="15.75" customHeight="1">
      <c r="M910" s="29"/>
    </row>
    <row r="911" ht="15.75" customHeight="1">
      <c r="M911" s="29"/>
    </row>
    <row r="912" ht="15.75" customHeight="1">
      <c r="M912" s="29"/>
    </row>
    <row r="913" ht="15.75" customHeight="1">
      <c r="M913" s="29"/>
    </row>
    <row r="914" ht="15.75" customHeight="1">
      <c r="M914" s="29"/>
    </row>
    <row r="915" ht="15.75" customHeight="1">
      <c r="M915" s="29"/>
    </row>
    <row r="916" ht="15.75" customHeight="1">
      <c r="M916" s="29"/>
    </row>
    <row r="917" ht="15.75" customHeight="1">
      <c r="M917" s="29"/>
    </row>
    <row r="918" ht="15.75" customHeight="1">
      <c r="M918" s="29"/>
    </row>
    <row r="919" ht="15.75" customHeight="1">
      <c r="M919" s="29"/>
    </row>
    <row r="920" ht="15.75" customHeight="1">
      <c r="M920" s="29"/>
    </row>
    <row r="921" ht="15.75" customHeight="1">
      <c r="M921" s="29"/>
    </row>
    <row r="922" ht="15.75" customHeight="1">
      <c r="M922" s="29"/>
    </row>
    <row r="923" ht="15.75" customHeight="1">
      <c r="M923" s="29"/>
    </row>
    <row r="924" ht="15.75" customHeight="1">
      <c r="M924" s="29"/>
    </row>
    <row r="925" ht="15.75" customHeight="1">
      <c r="M925" s="29"/>
    </row>
    <row r="926" ht="15.75" customHeight="1">
      <c r="M926" s="29"/>
    </row>
    <row r="927" ht="15.75" customHeight="1">
      <c r="M927" s="29"/>
    </row>
    <row r="928" ht="15.75" customHeight="1">
      <c r="M928" s="29"/>
    </row>
    <row r="929" ht="15.75" customHeight="1">
      <c r="M929" s="29"/>
    </row>
    <row r="930" ht="15.75" customHeight="1">
      <c r="M930" s="29"/>
    </row>
    <row r="931" ht="15.75" customHeight="1">
      <c r="M931" s="29"/>
    </row>
    <row r="932" ht="15.75" customHeight="1">
      <c r="M932" s="29"/>
    </row>
    <row r="933" ht="15.75" customHeight="1">
      <c r="M933" s="29"/>
    </row>
    <row r="934" ht="15.75" customHeight="1">
      <c r="M934" s="29"/>
    </row>
    <row r="935" ht="15.75" customHeight="1">
      <c r="M935" s="29"/>
    </row>
    <row r="936" ht="15.75" customHeight="1">
      <c r="M936" s="29"/>
    </row>
    <row r="937" ht="15.75" customHeight="1">
      <c r="M937" s="29"/>
    </row>
    <row r="938" ht="15.75" customHeight="1">
      <c r="M938" s="29"/>
    </row>
    <row r="939" ht="15.75" customHeight="1">
      <c r="M939" s="29"/>
    </row>
    <row r="940" ht="15.75" customHeight="1">
      <c r="M940" s="29"/>
    </row>
    <row r="941" ht="15.75" customHeight="1">
      <c r="M941" s="29"/>
    </row>
    <row r="942" ht="15.75" customHeight="1">
      <c r="M942" s="29"/>
    </row>
    <row r="943" ht="15.75" customHeight="1">
      <c r="M943" s="29"/>
    </row>
    <row r="944" ht="15.75" customHeight="1">
      <c r="M944" s="29"/>
    </row>
    <row r="945" ht="15.75" customHeight="1">
      <c r="M945" s="29"/>
    </row>
    <row r="946" ht="15.75" customHeight="1">
      <c r="M946" s="29"/>
    </row>
    <row r="947" ht="15.75" customHeight="1">
      <c r="M947" s="29"/>
    </row>
    <row r="948" ht="15.75" customHeight="1">
      <c r="M948" s="29"/>
    </row>
    <row r="949" ht="15.75" customHeight="1">
      <c r="M949" s="29"/>
    </row>
    <row r="950" ht="15.75" customHeight="1">
      <c r="M950" s="29"/>
    </row>
    <row r="951" ht="15.75" customHeight="1">
      <c r="M951" s="29"/>
    </row>
    <row r="952" ht="15.75" customHeight="1">
      <c r="M952" s="29"/>
    </row>
    <row r="953" ht="15.75" customHeight="1">
      <c r="M953" s="29"/>
    </row>
    <row r="954" ht="15.75" customHeight="1">
      <c r="M954" s="29"/>
    </row>
    <row r="955" ht="15.75" customHeight="1">
      <c r="M955" s="29"/>
    </row>
    <row r="956" ht="15.75" customHeight="1">
      <c r="M956" s="29"/>
    </row>
    <row r="957" ht="15.75" customHeight="1">
      <c r="M957" s="29"/>
    </row>
    <row r="958" ht="15.75" customHeight="1">
      <c r="M958" s="29"/>
    </row>
    <row r="959" ht="15.75" customHeight="1">
      <c r="M959" s="29"/>
    </row>
    <row r="960" ht="15.75" customHeight="1">
      <c r="M960" s="29"/>
    </row>
    <row r="961" ht="15.75" customHeight="1">
      <c r="M961" s="29"/>
    </row>
    <row r="962" ht="15.75" customHeight="1">
      <c r="M962" s="29"/>
    </row>
    <row r="963" ht="15.75" customHeight="1">
      <c r="M963" s="29"/>
    </row>
    <row r="964" ht="15.75" customHeight="1">
      <c r="M964" s="29"/>
    </row>
    <row r="965" ht="15.75" customHeight="1">
      <c r="M965" s="29"/>
    </row>
    <row r="966" ht="15.75" customHeight="1">
      <c r="M966" s="29"/>
    </row>
    <row r="967" ht="15.75" customHeight="1">
      <c r="M967" s="29"/>
    </row>
    <row r="968" ht="15.75" customHeight="1">
      <c r="M968" s="29"/>
    </row>
    <row r="969" ht="15.75" customHeight="1">
      <c r="M969" s="29"/>
    </row>
    <row r="970" ht="15.75" customHeight="1">
      <c r="M970" s="29"/>
    </row>
    <row r="971" ht="15.75" customHeight="1">
      <c r="M971" s="29"/>
    </row>
    <row r="972" ht="15.75" customHeight="1">
      <c r="M972" s="29"/>
    </row>
    <row r="973" ht="15.75" customHeight="1">
      <c r="M973" s="29"/>
    </row>
    <row r="974" ht="15.75" customHeight="1">
      <c r="M974" s="29"/>
    </row>
    <row r="975" ht="15.75" customHeight="1">
      <c r="M975" s="29"/>
    </row>
    <row r="976" ht="15.75" customHeight="1">
      <c r="M976" s="29"/>
    </row>
    <row r="977" ht="15.75" customHeight="1">
      <c r="M977" s="29"/>
    </row>
    <row r="978" ht="15.75" customHeight="1">
      <c r="M978" s="29"/>
    </row>
    <row r="979" ht="15.75" customHeight="1">
      <c r="M979" s="29"/>
    </row>
    <row r="980" ht="15.75" customHeight="1">
      <c r="M980" s="29"/>
    </row>
    <row r="981" ht="15.75" customHeight="1">
      <c r="M981" s="29"/>
    </row>
    <row r="982" ht="15.75" customHeight="1">
      <c r="M982" s="29"/>
    </row>
    <row r="983" ht="15.75" customHeight="1">
      <c r="M983" s="29"/>
    </row>
    <row r="984" ht="15.75" customHeight="1">
      <c r="M984" s="29"/>
    </row>
    <row r="985" ht="15.75" customHeight="1">
      <c r="M985" s="29"/>
    </row>
    <row r="986" ht="15.75" customHeight="1">
      <c r="M986" s="29"/>
    </row>
    <row r="987" ht="15.75" customHeight="1">
      <c r="M987" s="29"/>
    </row>
    <row r="988" ht="15.75" customHeight="1">
      <c r="M988" s="29"/>
    </row>
    <row r="989" ht="15.75" customHeight="1">
      <c r="M989" s="29"/>
    </row>
    <row r="990" ht="15.75" customHeight="1">
      <c r="M990" s="29"/>
    </row>
    <row r="991" ht="15.75" customHeight="1">
      <c r="M991" s="29"/>
    </row>
    <row r="992" ht="15.75" customHeight="1">
      <c r="M992" s="29"/>
    </row>
    <row r="993" ht="15.75" customHeight="1">
      <c r="M993" s="29"/>
    </row>
    <row r="994" ht="15.75" customHeight="1">
      <c r="M994" s="29"/>
    </row>
    <row r="995" ht="15.75" customHeight="1">
      <c r="M995" s="29"/>
    </row>
    <row r="996" ht="15.75" customHeight="1">
      <c r="M996" s="29"/>
    </row>
    <row r="997" ht="15.75" customHeight="1">
      <c r="M997" s="29"/>
    </row>
    <row r="998" ht="15.75" customHeight="1">
      <c r="M998" s="29"/>
    </row>
    <row r="999" ht="15.75" customHeight="1">
      <c r="M999" s="29"/>
    </row>
    <row r="1000" ht="15.75" customHeight="1">
      <c r="M1000" s="29"/>
    </row>
    <row r="1001" ht="15.75" customHeight="1">
      <c r="M1001" s="29"/>
    </row>
    <row r="1002" ht="15.75" customHeight="1">
      <c r="M1002" s="29"/>
    </row>
  </sheetData>
  <mergeCells count="1">
    <mergeCell ref="B3:O3"/>
  </mergeCells>
  <dataValidations>
    <dataValidation type="list" allowBlank="1" showErrorMessage="1" sqref="L19:L25">
      <formula1>$L$32:$L$35</formula1>
    </dataValidation>
    <dataValidation type="list" allowBlank="1" showErrorMessage="1" sqref="K19:K25">
      <formula1>$K$32:$K$34</formula1>
    </dataValidation>
    <dataValidation type="list" allowBlank="1" showErrorMessage="1" sqref="K6:L18">
      <formula1>#REF!</formula1>
    </dataValidation>
  </dataValidations>
  <printOptions horizontalCentered="1"/>
  <pageMargins bottom="0.5511811023622047" footer="0.0" header="0.0" left="0.31496062992125984" right="0.31496062992125984" top="0.7480314960629921"/>
  <pageSetup paperSize="8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11.75"/>
    <col customWidth="1" min="5" max="5" width="15.13"/>
    <col customWidth="1" min="6" max="15" width="10.63"/>
    <col customWidth="1" min="16" max="16" width="2.63"/>
  </cols>
  <sheetData>
    <row r="2" ht="15.0" hidden="1" customHeight="1"/>
    <row r="3" ht="15.0" hidden="1" customHeight="1"/>
    <row r="4" hidden="1">
      <c r="C4" s="32"/>
      <c r="D4" s="32"/>
      <c r="E4" s="32"/>
      <c r="F4" s="6"/>
    </row>
    <row r="5" hidden="1">
      <c r="C5" s="32"/>
      <c r="D5" s="32"/>
      <c r="E5" s="32"/>
      <c r="F5" s="6"/>
    </row>
    <row r="6" ht="39.75" customHeight="1">
      <c r="A6" s="33"/>
      <c r="B6" s="34" t="s">
        <v>94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ht="9.75" customHeight="1">
      <c r="A7" s="33"/>
      <c r="B7" s="3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3"/>
    </row>
    <row r="8" ht="9.75" customHeight="1">
      <c r="A8" s="33"/>
      <c r="B8" s="38"/>
      <c r="C8" s="39"/>
      <c r="D8" s="39"/>
      <c r="E8" s="39"/>
      <c r="F8" s="40"/>
      <c r="G8" s="41"/>
      <c r="H8" s="41"/>
      <c r="I8" s="41"/>
      <c r="J8" s="41"/>
      <c r="K8" s="41"/>
      <c r="L8" s="41"/>
      <c r="M8" s="41"/>
      <c r="N8" s="41"/>
      <c r="O8" s="41"/>
      <c r="P8" s="42"/>
    </row>
    <row r="9" ht="30.0" customHeight="1">
      <c r="A9" s="33"/>
      <c r="B9" s="43"/>
      <c r="C9" s="44" t="s">
        <v>1</v>
      </c>
      <c r="D9" s="45"/>
      <c r="E9" s="46" t="s">
        <v>95</v>
      </c>
      <c r="F9" s="36"/>
      <c r="G9" s="45"/>
      <c r="H9" s="46" t="s">
        <v>11</v>
      </c>
      <c r="I9" s="36"/>
      <c r="J9" s="47"/>
      <c r="K9" s="47"/>
      <c r="L9" s="47"/>
      <c r="M9" s="47"/>
      <c r="N9" s="47"/>
      <c r="O9" s="47"/>
      <c r="P9" s="48"/>
    </row>
    <row r="10" ht="30.0" customHeight="1">
      <c r="A10" s="33"/>
      <c r="B10" s="43"/>
      <c r="C10" s="49" t="s">
        <v>15</v>
      </c>
      <c r="D10" s="50"/>
      <c r="E10" s="51" t="str">
        <f>VLOOKUP(C10,'Formato descripción HU'!B6:O25,5,0)</f>
        <v>Sr. Luis Azoguez</v>
      </c>
      <c r="F10" s="36"/>
      <c r="G10" s="52"/>
      <c r="H10" s="51" t="str">
        <f>VLOOKUP(C10,'Formato descripción HU'!B6:O265,11,0)</f>
        <v>En proceso</v>
      </c>
      <c r="I10" s="36"/>
      <c r="J10" s="52"/>
      <c r="K10" s="47"/>
      <c r="L10" s="47"/>
      <c r="M10" s="47"/>
      <c r="N10" s="47"/>
      <c r="O10" s="47"/>
      <c r="P10" s="48"/>
    </row>
    <row r="11" ht="9.75" customHeight="1">
      <c r="A11" s="33"/>
      <c r="B11" s="43"/>
      <c r="C11" s="53"/>
      <c r="D11" s="50"/>
      <c r="E11" s="52"/>
      <c r="F11" s="52"/>
      <c r="G11" s="52"/>
      <c r="H11" s="52"/>
      <c r="I11" s="52"/>
      <c r="J11" s="52"/>
      <c r="K11" s="52"/>
      <c r="L11" s="52"/>
      <c r="M11" s="47"/>
      <c r="N11" s="52"/>
      <c r="O11" s="52"/>
      <c r="P11" s="48"/>
    </row>
    <row r="12" ht="30.0" customHeight="1">
      <c r="A12" s="33"/>
      <c r="B12" s="43"/>
      <c r="C12" s="44" t="s">
        <v>96</v>
      </c>
      <c r="D12" s="50"/>
      <c r="E12" s="46" t="s">
        <v>10</v>
      </c>
      <c r="F12" s="36"/>
      <c r="G12" s="52"/>
      <c r="H12" s="46" t="s">
        <v>97</v>
      </c>
      <c r="I12" s="36"/>
      <c r="J12" s="52"/>
      <c r="K12" s="52"/>
      <c r="L12" s="52"/>
      <c r="M12" s="47"/>
      <c r="N12" s="52"/>
      <c r="O12" s="52"/>
      <c r="P12" s="48"/>
    </row>
    <row r="13" ht="30.0" customHeight="1">
      <c r="A13" s="33"/>
      <c r="B13" s="43"/>
      <c r="C13" s="54" t="str">
        <f>VLOOKUP('Historia de Usuario'!C10,'Formato descripción HU'!B6:O25,8,0)</f>
        <v>2h</v>
      </c>
      <c r="D13" s="50"/>
      <c r="E13" s="51" t="str">
        <f>VLOOKUP(C10,'Formato descripción HU'!B6:O25,10,0)</f>
        <v>Alta</v>
      </c>
      <c r="F13" s="36"/>
      <c r="G13" s="52"/>
      <c r="H13" s="51" t="str">
        <f>VLOOKUP(C10,'Formato descripción HU'!B6:O25,7,0)</f>
        <v>Alan Nero</v>
      </c>
      <c r="I13" s="36"/>
      <c r="J13" s="52"/>
      <c r="K13" s="52"/>
      <c r="L13" s="52"/>
      <c r="M13" s="47"/>
      <c r="N13" s="52"/>
      <c r="O13" s="52"/>
      <c r="P13" s="48"/>
    </row>
    <row r="14" ht="9.75" customHeight="1">
      <c r="A14" s="33"/>
      <c r="B14" s="43"/>
      <c r="C14" s="47"/>
      <c r="D14" s="50"/>
      <c r="E14" s="47"/>
      <c r="F14" s="47"/>
      <c r="G14" s="52"/>
      <c r="H14" s="52"/>
      <c r="I14" s="47"/>
      <c r="J14" s="47"/>
      <c r="K14" s="47"/>
      <c r="L14" s="47"/>
      <c r="M14" s="47"/>
      <c r="N14" s="47"/>
      <c r="O14" s="47"/>
      <c r="P14" s="48"/>
    </row>
    <row r="15" ht="19.5" customHeight="1">
      <c r="A15" s="33"/>
      <c r="B15" s="43"/>
      <c r="C15" s="55" t="s">
        <v>98</v>
      </c>
      <c r="D15" s="56" t="str">
        <f>VLOOKUP(C10,'Formato descripción HU'!B6:O25,3,0)</f>
        <v>El programa deberá presentar un menú de ingreso al sistema y presentar las opciones que ofrece.</v>
      </c>
      <c r="E15" s="57"/>
      <c r="F15" s="47"/>
      <c r="G15" s="55" t="s">
        <v>99</v>
      </c>
      <c r="H15" s="56" t="str">
        <f>VLOOKUP(C10,'Formato descripción HU'!B6:O25,4,0)</f>
        <v>El usuario puede ver las opciones que el programa ofrece y seleciona segun sea su conveniencia.</v>
      </c>
      <c r="I15" s="58"/>
      <c r="J15" s="57"/>
      <c r="K15" s="47"/>
      <c r="L15" s="55" t="s">
        <v>100</v>
      </c>
      <c r="M15" s="56" t="str">
        <f>VLOOKUP(C10,'Formato descripción HU'!B6:O25,6,0)</f>
        <v>Permitir que el usuario pueda visualizar las opciones que tiene el programa y que pueda seleccionar sea según su necesidad.</v>
      </c>
      <c r="N15" s="58"/>
      <c r="O15" s="57"/>
      <c r="P15" s="48"/>
    </row>
    <row r="16" ht="19.5" customHeight="1">
      <c r="A16" s="33"/>
      <c r="B16" s="43"/>
      <c r="C16" s="59"/>
      <c r="D16" s="60"/>
      <c r="E16" s="61"/>
      <c r="F16" s="47"/>
      <c r="G16" s="59"/>
      <c r="H16" s="60"/>
      <c r="J16" s="61"/>
      <c r="K16" s="47"/>
      <c r="L16" s="59"/>
      <c r="M16" s="60"/>
      <c r="O16" s="61"/>
      <c r="P16" s="48"/>
    </row>
    <row r="17" ht="31.5" customHeight="1">
      <c r="A17" s="33"/>
      <c r="B17" s="43"/>
      <c r="C17" s="62"/>
      <c r="D17" s="63"/>
      <c r="E17" s="64"/>
      <c r="F17" s="47"/>
      <c r="G17" s="62"/>
      <c r="H17" s="63"/>
      <c r="I17" s="65"/>
      <c r="J17" s="64"/>
      <c r="K17" s="47"/>
      <c r="L17" s="62"/>
      <c r="M17" s="63"/>
      <c r="N17" s="65"/>
      <c r="O17" s="64"/>
      <c r="P17" s="48"/>
    </row>
    <row r="18" ht="9.75" customHeight="1">
      <c r="A18" s="33"/>
      <c r="B18" s="43"/>
      <c r="C18" s="47"/>
      <c r="D18" s="47"/>
      <c r="E18" s="47"/>
      <c r="F18" s="47"/>
      <c r="G18" s="52"/>
      <c r="H18" s="52"/>
      <c r="I18" s="52"/>
      <c r="J18" s="47"/>
      <c r="K18" s="47"/>
      <c r="L18" s="47"/>
      <c r="M18" s="47"/>
      <c r="N18" s="47"/>
      <c r="O18" s="47"/>
      <c r="P18" s="48"/>
    </row>
    <row r="19" ht="19.5" customHeight="1">
      <c r="A19" s="33"/>
      <c r="B19" s="43"/>
      <c r="C19" s="66" t="s">
        <v>101</v>
      </c>
      <c r="D19" s="57"/>
      <c r="E19" s="67" t="str">
        <f>VLOOKUP(C10,'Formato descripción HU'!B6:O25,14,0)</f>
        <v>Ingreso del Sistema</v>
      </c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48"/>
    </row>
    <row r="20" ht="19.5" customHeight="1">
      <c r="A20" s="33"/>
      <c r="B20" s="43"/>
      <c r="C20" s="63"/>
      <c r="D20" s="64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48"/>
    </row>
    <row r="21" ht="9.75" customHeight="1">
      <c r="A21" s="33"/>
      <c r="B21" s="43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8"/>
    </row>
    <row r="22" ht="19.5" customHeight="1">
      <c r="A22" s="33"/>
      <c r="B22" s="43"/>
      <c r="C22" s="73" t="s">
        <v>102</v>
      </c>
      <c r="D22" s="57"/>
      <c r="E22" s="56" t="str">
        <f>VLOOKUP(C10,'Formato descripción HU'!B6:O25,12,0)</f>
        <v>Caja negra: Probar si el usuario puede ver y elegir entre las opciones del programa.
Caja blanca: Revisar que el sistema muestre todas las opciones según lo programado.</v>
      </c>
      <c r="F22" s="58"/>
      <c r="G22" s="58"/>
      <c r="H22" s="57"/>
      <c r="I22" s="47"/>
      <c r="J22" s="73" t="s">
        <v>13</v>
      </c>
      <c r="K22" s="57"/>
      <c r="L22" s="74" t="str">
        <f>VLOOKUP(C10,'Formato descripción HU'!B6:O25,13,0)</f>
        <v/>
      </c>
      <c r="M22" s="58"/>
      <c r="N22" s="58"/>
      <c r="O22" s="57"/>
      <c r="P22" s="48"/>
    </row>
    <row r="23" ht="19.5" customHeight="1">
      <c r="A23" s="33"/>
      <c r="B23" s="43"/>
      <c r="C23" s="60"/>
      <c r="D23" s="61"/>
      <c r="E23" s="60"/>
      <c r="H23" s="61"/>
      <c r="I23" s="47"/>
      <c r="J23" s="60"/>
      <c r="K23" s="61"/>
      <c r="L23" s="60"/>
      <c r="O23" s="61"/>
      <c r="P23" s="48"/>
    </row>
    <row r="24" ht="19.5" customHeight="1">
      <c r="A24" s="33"/>
      <c r="B24" s="43"/>
      <c r="C24" s="63"/>
      <c r="D24" s="64"/>
      <c r="E24" s="63"/>
      <c r="F24" s="65"/>
      <c r="G24" s="65"/>
      <c r="H24" s="64"/>
      <c r="I24" s="47"/>
      <c r="J24" s="63"/>
      <c r="K24" s="64"/>
      <c r="L24" s="63"/>
      <c r="M24" s="65"/>
      <c r="N24" s="65"/>
      <c r="O24" s="64"/>
      <c r="P24" s="48"/>
    </row>
    <row r="25" ht="9.75" customHeight="1"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4" priority="1" operator="equal">
      <formula>"Atrasado"</formula>
    </cfRule>
  </conditionalFormatting>
  <conditionalFormatting sqref="H10:I11">
    <cfRule type="cellIs" dxfId="5" priority="2" operator="equal">
      <formula>"Terminado"</formula>
    </cfRule>
  </conditionalFormatting>
  <conditionalFormatting sqref="H10:I11">
    <cfRule type="cellIs" dxfId="6" priority="3" operator="equal">
      <formula>"En proceso"</formula>
    </cfRule>
  </conditionalFormatting>
  <conditionalFormatting sqref="H10:I11">
    <cfRule type="cellIs" dxfId="7" priority="4" operator="equal">
      <formula>"No Iniciado"</formula>
    </cfRule>
  </conditionalFormatting>
  <dataValidations>
    <dataValidation type="list" allowBlank="1" showErrorMessage="1" sqref="C11">
      <formula1>'Formato descripción HU'!$B$6:$B$23</formula1>
    </dataValidation>
    <dataValidation type="list" allowBlank="1" showErrorMessage="1" sqref="C10">
      <formula1>'Formato descripción HU'!$B$6:$B$25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