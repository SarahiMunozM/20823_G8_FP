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</workbook>
</file>

<file path=xl/sharedStrings.xml><?xml version="1.0" encoding="utf-8"?>
<sst xmlns="http://schemas.openxmlformats.org/spreadsheetml/2006/main" count="169" uniqueCount="120">
  <si>
    <t>Matriz de Marco de Trabajo de HU</t>
  </si>
  <si>
    <t>ITEM</t>
  </si>
  <si>
    <t>PROBLEMA</t>
  </si>
  <si>
    <t>QUE 
(NECESIDAD)</t>
  </si>
  <si>
    <t>PARA QUÉ 
(SOLUCIÓN)</t>
  </si>
  <si>
    <t>PARA QUIEN (USUARIO)</t>
  </si>
  <si>
    <t>COMO
 (DESCRIPCIÓN DE TAREAS)</t>
  </si>
  <si>
    <t>HECHO POR  (PROG. RESP.)</t>
  </si>
  <si>
    <t>CUANTO TIEMPO (ESTIMADO EN HORAS)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</si>
  <si>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</si>
  <si>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</si>
  <si>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</si>
  <si>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</si>
  <si>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</si>
  <si>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</si>
  <si>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 001</t>
  </si>
  <si>
    <t>¿Cómo accedo a las funciones del sistema?</t>
  </si>
  <si>
    <t>El programa deberá mostrar un menú con opciones claras del sistema.</t>
  </si>
  <si>
    <t>Para que el usuario pueda navegar intuitivamente en el sistema.</t>
  </si>
  <si>
    <t>Sr. Luis Azoguez</t>
  </si>
  <si>
    <t>Permitir que el usuario pueda visualizar las opciones que tiene el programa y que pueda seleccionar sea según su necesidad.</t>
  </si>
  <si>
    <t>Alan Nero</t>
  </si>
  <si>
    <t>2h</t>
  </si>
  <si>
    <t>Alta</t>
  </si>
  <si>
    <t>Terminado</t>
  </si>
  <si>
    <t>Caja negra: Probar si el usuario puede ver y elegir entre las opciones del programa.
Caja blanca: Revisar que el sistema muestre todas las opciones según lo programado.</t>
  </si>
  <si>
    <t>Ingreso del Sistema</t>
  </si>
  <si>
    <t>REQ 002</t>
  </si>
  <si>
    <t>¿Cómo ingreso los productos al inventario?</t>
  </si>
  <si>
    <t>El programa deberá registrar productos con: ID, nombre, Marca y la cantidad de stock al inventario.</t>
  </si>
  <si>
    <t>Para que el usuario pueda registrar los productos ofertados en el local.</t>
  </si>
  <si>
    <t>El usuario completará un formulario con: ID único, nombre, marca y cantidad (validando que no sea negativa).</t>
  </si>
  <si>
    <t>3h</t>
  </si>
  <si>
    <t>Caja negra: Probar si se puede ingresar un producto y aparece en el listado.
Caja blanca: Verificar que el sistema guarde correctamente los datos del producto.</t>
  </si>
  <si>
    <t>Ingresos del registro</t>
  </si>
  <si>
    <t>REQ 003</t>
  </si>
  <si>
    <t>¿Cómo eliminar los productos del inventario en el sistema?</t>
  </si>
  <si>
    <t>El programa deberá eliminar el producto del registro del inventario.</t>
  </si>
  <si>
    <t>Para que el usuario pueda eliminar del registro los productos ofertados en el local.</t>
  </si>
  <si>
    <t>Permitir al usuario seleccionará un producto y confirmará su eliminación.</t>
  </si>
  <si>
    <t>Caja negra: Probar si al eliminar un producto este ya no aparece en el inventario.
Caja blanca: Comprobar que el sistema lo borre de la lista guardada</t>
  </si>
  <si>
    <t>Eliminación de productos</t>
  </si>
  <si>
    <t>REQ 004</t>
  </si>
  <si>
    <t>¿Como cambio la información de un producto mal ingresado?</t>
  </si>
  <si>
    <t>El programa deberá permitir editar la información guardada de los productos</t>
  </si>
  <si>
    <t>Para que el usuario pueda hacer cambios en los datos de los productos.</t>
  </si>
  <si>
    <t>Permitir al usuario seleccionará un producto, editará los campos necesarios (nombre, marca, cantidad) y guardará los cambios.</t>
  </si>
  <si>
    <t>Sarahi Muñoz</t>
  </si>
  <si>
    <t xml:space="preserve">Media </t>
  </si>
  <si>
    <t>Caja negra: Modificar el nombre, cantidad o precio de un producto y verificar que los cambios se reflejen correctamente en el inventario. 
Caja blanca: Revisar que el código localice correctamente el producto y actualice sus datos sin errores.</t>
  </si>
  <si>
    <t>Edición de productos</t>
  </si>
  <si>
    <t>REQ 005</t>
  </si>
  <si>
    <t>¿Cómo visualizar el inventario completo?</t>
  </si>
  <si>
    <t>El programa deberá visualizar un registro en orden alfabético de todos los productos ingresados.</t>
  </si>
  <si>
    <t>Para que el usuario pueda crear un registro de los productos disponibles en el local.</t>
  </si>
  <si>
    <t>Mostrar una tabla ordenada alfabéticamente con: nombre, marca, cantidad en el inventario.</t>
  </si>
  <si>
    <t>Adriana Astudillo</t>
  </si>
  <si>
    <t>6h</t>
  </si>
  <si>
    <t>Caja negra: Ver si al abrir el inventario se muestran todos los productos.
Caja blanca: Verificar que el programa recorra bien todos los productos guardados.</t>
  </si>
  <si>
    <t>Registro de inventario.</t>
  </si>
  <si>
    <t>REQ 006</t>
  </si>
  <si>
    <t>¿Tengo esos productos en el inventario del programa?</t>
  </si>
  <si>
    <t>El programa deberá realizar la búsqueda de los productos por su nombre en el registro.</t>
  </si>
  <si>
    <t>Para que el usuario pueda agilizar la búsqueda de los objetos en el inventario.</t>
  </si>
  <si>
    <t>El usuario escribirá el ID, nombre o marca y el sistema filtra los resultados en tiempo real.</t>
  </si>
  <si>
    <t>Caja negra: Escribir un nombre y comprobar si aparecen los productos que lo contienen.
Caja blanca: Revisar que el sistema compara bien los nombres al buscar.</t>
  </si>
  <si>
    <t>Buscador de productos.</t>
  </si>
  <si>
    <t>REQ 007</t>
  </si>
  <si>
    <t>¿Qué productos están por acabarse?</t>
  </si>
  <si>
    <t>El programa deberá presentar las existencias de los productos y alertar de la falta del stock.</t>
  </si>
  <si>
    <t>Para que el usuario pueda identificar productos con stock crítico y evitar faltantes.</t>
  </si>
  <si>
    <t>Permitir al usuario visualizar el inventario y mostrar una alerta visual (ej: color rojo) si la cantidad es menor al mínimo definido.</t>
  </si>
  <si>
    <t>Alan Nero
Adriana Astudillo
Sarahi Muñoz</t>
  </si>
  <si>
    <t>Caja negra: Ver si el sistema avisa cuando un producto tiene poco stock.
Caja blanca: Confirmar que se compruebe el mínimo permitido antes de mostrar la alerta.</t>
  </si>
  <si>
    <t>Reporte de inventario.</t>
  </si>
  <si>
    <t>REQ 008</t>
  </si>
  <si>
    <t>¿Cuál es la cantidad existente de ese producto en el inventario del programa?</t>
  </si>
  <si>
    <t>El programa deberá presentar la cantidad de productos vendidos.</t>
  </si>
  <si>
    <t>Para que el usuario pueda cuantificar la salida de productos del inventario.</t>
  </si>
  <si>
    <t>Guardar un historial de salidas de productos.</t>
  </si>
  <si>
    <t xml:space="preserve">Sarahi Muñoz Adriana Astudillo           </t>
  </si>
  <si>
    <t>4h</t>
  </si>
  <si>
    <t>Media</t>
  </si>
  <si>
    <t>Caja negra: Hacer una salida de producto y verificar que se registre.
Caja blanca: Ver que el sistema agregue esa salida al historial correctamente.</t>
  </si>
  <si>
    <t>Registro de salidas</t>
  </si>
  <si>
    <t>REQ 009</t>
  </si>
  <si>
    <t>¿Cuántas ventas se realizaron en el día?</t>
  </si>
  <si>
    <t>El programa deberá dar a conocer el registro de ventas realizado en el día.</t>
  </si>
  <si>
    <t>Para que el usuario pueda conocer las ventas realizadas en montos.</t>
  </si>
  <si>
    <t>Permitir conocer al usuario las ventas y la cantidad de dinero en caja.</t>
  </si>
  <si>
    <t>Caja negra: Registrar ventas y comprobar si se muestra el total del día.
Caja blanca: Revisar que el sistema sume bien todas las ventas hechas.</t>
  </si>
  <si>
    <t>Reporte de ventas realizadas.</t>
  </si>
  <si>
    <t>REQ 010</t>
  </si>
  <si>
    <t>¿Qué productos están activos e inactivos en el re-stock?</t>
  </si>
  <si>
    <t xml:space="preserve">El programa deberá filtrar los productos activos vigentes. </t>
  </si>
  <si>
    <t>Para conocer los productos que no se venden en el local.</t>
  </si>
  <si>
    <t>Permitir visualizar a base de un filtrado de todos los productos existentes.</t>
  </si>
  <si>
    <t xml:space="preserve">Alan Nero Adriana Astudillo           </t>
  </si>
  <si>
    <t>En proceso</t>
  </si>
  <si>
    <t xml:space="preserve">Caja negra: 
Caja blanca: </t>
  </si>
  <si>
    <t>Filtrado de Productos activos e inactivos</t>
  </si>
  <si>
    <t>REQ 011</t>
  </si>
  <si>
    <t>¿Qué productos están en pausa por los proveedores?</t>
  </si>
  <si>
    <t>El programa deberá presentar un listado con el nombre del proveedor y el producto que está en pausa.</t>
  </si>
  <si>
    <t>Para saber qué productos no están en stock pero llegarán a futuro</t>
  </si>
  <si>
    <t>Desplegando un listado de productos que estan es pausa con su respectivo proovedor.</t>
  </si>
  <si>
    <t>Listado de productos en pausa</t>
  </si>
  <si>
    <t>REQ 012</t>
  </si>
  <si>
    <t>REQ 013</t>
  </si>
  <si>
    <t>No iniciado</t>
  </si>
  <si>
    <t>Baja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</si>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</sst>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-mm-dd"/>
  </numFmts>
  <fonts count="19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sz val="10.0"/>
      <color theme="1"/>
      <name val="Arial"/>
      <scheme val="minor"/>
    </font>
    <font>
      <b/>
      <i/>
      <sz val="16.0"/>
      <color theme="1"/>
      <name val="Calibri"/>
    </font>
    <font>
      <b/>
      <i/>
      <sz val="11.0"/>
      <color theme="1"/>
      <name val="Calibri"/>
    </font>
    <font>
      <b/>
      <i/>
      <sz val="10.0"/>
      <color theme="1"/>
      <name val="Calibri"/>
    </font>
    <font>
      <sz val="11.0"/>
      <color theme="1"/>
      <name val="Times New Roman"/>
    </font>
    <font>
      <sz val="11.0"/>
      <color rgb="FF000000"/>
      <name val="Times New Roman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sz val="16.0"/>
      <color theme="1"/>
      <name val="Calibri"/>
    </font>
    <font/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Times New Roman"/>
    </font>
    <font>
      <sz val="12.0"/>
      <color theme="1"/>
      <name val="Calibri"/>
    </font>
    <font>
      <b/>
      <i/>
      <sz val="12.0"/>
      <color rgb="FF9C65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3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284E3F"/>
      </top>
      <bottom style="thin">
        <color rgb="FF000000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0" fillId="0" fontId="1" numFmtId="0" xfId="0" applyFont="1"/>
    <xf borderId="1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164" xfId="0" applyAlignment="1" applyBorder="1" applyFont="1" applyNumberFormat="1">
      <alignment horizontal="center" readingOrder="0" shrinkToFit="0" vertical="center" wrapText="1"/>
    </xf>
    <xf borderId="5" fillId="0" fontId="7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readingOrder="0" shrinkToFit="0" vertical="center" wrapText="0"/>
    </xf>
    <xf borderId="5" fillId="0" fontId="7" numFmtId="165" xfId="0" applyAlignment="1" applyBorder="1" applyFont="1" applyNumberFormat="1">
      <alignment horizontal="center" readingOrder="0" shrinkToFit="0" vertical="center" wrapText="1"/>
    </xf>
    <xf borderId="5" fillId="0" fontId="7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5" fillId="0" fontId="7" numFmtId="49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5" fillId="0" fontId="7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horizontal="center" readingOrder="0" shrinkToFit="0" vertical="bottom" wrapText="0"/>
    </xf>
    <xf borderId="5" fillId="0" fontId="9" numFmtId="0" xfId="0" applyAlignment="1" applyBorder="1" applyFont="1">
      <alignment horizontal="center" readingOrder="0" shrinkToFit="0" wrapText="0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/>
    </xf>
    <xf borderId="7" fillId="2" fontId="12" numFmtId="0" xfId="0" applyAlignment="1" applyBorder="1" applyFill="1" applyFont="1">
      <alignment horizontal="center" shrinkToFit="0" vertical="center" wrapText="1"/>
    </xf>
    <xf borderId="8" fillId="0" fontId="13" numFmtId="0" xfId="0" applyBorder="1" applyFont="1"/>
    <xf borderId="9" fillId="0" fontId="13" numFmtId="0" xfId="0" applyBorder="1" applyFont="1"/>
    <xf borderId="0" fillId="0" fontId="10" numFmtId="0" xfId="0" applyAlignment="1" applyFont="1">
      <alignment horizontal="center" shrinkToFit="0" vertical="center" wrapText="1"/>
    </xf>
    <xf borderId="10" fillId="2" fontId="2" numFmtId="0" xfId="0" applyAlignment="1" applyBorder="1" applyFont="1">
      <alignment horizontal="center"/>
    </xf>
    <xf borderId="11" fillId="2" fontId="10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/>
    </xf>
    <xf borderId="11" fillId="2" fontId="2" numFmtId="0" xfId="0" applyAlignment="1" applyBorder="1" applyFont="1">
      <alignment horizontal="center"/>
    </xf>
    <xf borderId="12" fillId="2" fontId="2" numFmtId="0" xfId="0" applyAlignment="1" applyBorder="1" applyFont="1">
      <alignment horizontal="center"/>
    </xf>
    <xf borderId="13" fillId="2" fontId="2" numFmtId="0" xfId="0" applyAlignment="1" applyBorder="1" applyFont="1">
      <alignment horizontal="center"/>
    </xf>
    <xf borderId="5" fillId="3" fontId="14" numFmtId="0" xfId="0" applyAlignment="1" applyBorder="1" applyFill="1" applyFont="1">
      <alignment horizontal="center" vertical="center"/>
    </xf>
    <xf borderId="14" fillId="2" fontId="15" numFmtId="0" xfId="0" applyAlignment="1" applyBorder="1" applyFont="1">
      <alignment horizontal="center" vertical="center"/>
    </xf>
    <xf borderId="7" fillId="3" fontId="14" numFmtId="0" xfId="0" applyAlignment="1" applyBorder="1" applyFont="1">
      <alignment horizontal="center" vertical="center"/>
    </xf>
    <xf borderId="14" fillId="2" fontId="2" numFmtId="0" xfId="0" applyAlignment="1" applyBorder="1" applyFont="1">
      <alignment horizontal="center"/>
    </xf>
    <xf borderId="15" fillId="2" fontId="2" numFmtId="0" xfId="0" applyAlignment="1" applyBorder="1" applyFont="1">
      <alignment horizontal="center"/>
    </xf>
    <xf borderId="5" fillId="4" fontId="16" numFmtId="0" xfId="0" applyAlignment="1" applyBorder="1" applyFill="1" applyFont="1">
      <alignment horizontal="center" readingOrder="0" vertical="center"/>
    </xf>
    <xf borderId="14" fillId="2" fontId="1" numFmtId="0" xfId="0" applyAlignment="1" applyBorder="1" applyFont="1">
      <alignment horizontal="center" shrinkToFit="0" vertical="center" wrapText="1"/>
    </xf>
    <xf borderId="7" fillId="4" fontId="16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14" fillId="2" fontId="17" numFmtId="0" xfId="0" applyAlignment="1" applyBorder="1" applyFont="1">
      <alignment horizontal="center" vertical="center"/>
    </xf>
    <xf borderId="5" fillId="4" fontId="16" numFmtId="0" xfId="0" applyAlignment="1" applyBorder="1" applyFont="1">
      <alignment horizontal="center" vertical="center"/>
    </xf>
    <xf borderId="7" fillId="4" fontId="17" numFmtId="0" xfId="0" applyAlignment="1" applyBorder="1" applyFont="1">
      <alignment horizontal="center" vertical="center"/>
    </xf>
    <xf borderId="16" fillId="5" fontId="14" numFmtId="0" xfId="0" applyAlignment="1" applyBorder="1" applyFill="1" applyFont="1">
      <alignment horizontal="center" vertical="center"/>
    </xf>
    <xf borderId="17" fillId="4" fontId="7" numFmtId="0" xfId="0" applyAlignment="1" applyBorder="1" applyFont="1">
      <alignment horizontal="center" shrinkToFit="0" vertical="center" wrapText="1"/>
    </xf>
    <xf borderId="18" fillId="0" fontId="13" numFmtId="0" xfId="0" applyBorder="1" applyFont="1"/>
    <xf borderId="19" fillId="0" fontId="13" numFmtId="0" xfId="0" applyBorder="1" applyFont="1"/>
    <xf borderId="20" fillId="0" fontId="13" numFmtId="0" xfId="0" applyBorder="1" applyFont="1"/>
    <xf borderId="21" fillId="0" fontId="13" numFmtId="0" xfId="0" applyBorder="1" applyFont="1"/>
    <xf borderId="22" fillId="0" fontId="13" numFmtId="0" xfId="0" applyBorder="1" applyFont="1"/>
    <xf borderId="23" fillId="0" fontId="13" numFmtId="0" xfId="0" applyBorder="1" applyFont="1"/>
    <xf borderId="24" fillId="0" fontId="13" numFmtId="0" xfId="0" applyBorder="1" applyFont="1"/>
    <xf borderId="25" fillId="0" fontId="13" numFmtId="0" xfId="0" applyBorder="1" applyFont="1"/>
    <xf borderId="26" fillId="0" fontId="13" numFmtId="0" xfId="0" applyBorder="1" applyFont="1"/>
    <xf borderId="17" fillId="6" fontId="18" numFmtId="0" xfId="0" applyAlignment="1" applyBorder="1" applyFill="1" applyFont="1">
      <alignment horizontal="center" vertical="center"/>
    </xf>
    <xf borderId="27" fillId="7" fontId="16" numFmtId="0" xfId="0" applyAlignment="1" applyBorder="1" applyFill="1" applyFont="1">
      <alignment horizontal="center" shrinkToFit="0" vertical="center" wrapText="1"/>
    </xf>
    <xf borderId="28" fillId="0" fontId="13" numFmtId="0" xfId="0" applyBorder="1" applyFont="1"/>
    <xf borderId="29" fillId="0" fontId="13" numFmtId="0" xfId="0" applyBorder="1" applyFont="1"/>
    <xf borderId="30" fillId="0" fontId="13" numFmtId="0" xfId="0" applyBorder="1" applyFont="1"/>
    <xf borderId="31" fillId="0" fontId="13" numFmtId="0" xfId="0" applyBorder="1" applyFont="1"/>
    <xf borderId="32" fillId="0" fontId="13" numFmtId="0" xfId="0" applyBorder="1" applyFont="1"/>
    <xf borderId="17" fillId="3" fontId="14" numFmtId="0" xfId="0" applyAlignment="1" applyBorder="1" applyFont="1">
      <alignment horizontal="center" vertical="center"/>
    </xf>
    <xf borderId="17" fillId="4" fontId="7" numFmtId="164" xfId="0" applyAlignment="1" applyBorder="1" applyFont="1" applyNumberFormat="1">
      <alignment horizontal="center" shrinkToFit="0" vertical="center" wrapText="1"/>
    </xf>
    <xf borderId="33" fillId="2" fontId="2" numFmtId="0" xfId="0" applyAlignment="1" applyBorder="1" applyFont="1">
      <alignment horizontal="center"/>
    </xf>
    <xf borderId="34" fillId="2" fontId="2" numFmtId="0" xfId="0" applyAlignment="1" applyBorder="1" applyFont="1">
      <alignment horizontal="center"/>
    </xf>
    <xf borderId="35" fillId="2" fontId="2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theme="1"/>
      </font>
      <fill>
        <patternFill patternType="solid">
          <fgColor rgb="FFFFFFFF"/>
          <bgColor rgb="FFFFFFFF"/>
        </patternFill>
      </fill>
      <border/>
    </dxf>
  </dxfs>
  <tableStyles count="1">
    <tableStyle count="3" pivot="0" name="Formato descripción HU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8</xdr:row>
      <xdr:rowOff>219075</xdr:rowOff>
    </xdr:from>
    <xdr:ext cx="1181100" cy="11811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5:O18" displayName="Tabla_1" name="Tabla_1" id="1">
  <tableColumns count="14">
    <tableColumn name="ITEM" id="1"/>
    <tableColumn name="PROBLEMA" id="2"/>
    <tableColumn name="QUE _x000a_(NECESIDAD)" id="3"/>
    <tableColumn name="PARA QUÉ _x000a_(SOLUCIÓN)" id="4"/>
    <tableColumn name="PARA QUIEN (USUARIO)" id="5"/>
    <tableColumn name="COMO_x000a_ (DESCRIPCIÓN DE TAREAS)" id="6"/>
    <tableColumn name="HECHO POR  (PROG. RESP.)" id="7"/>
    <tableColumn name="CUANTO TIEMPO (ESTIMADO EN HORAS)" id="8"/>
    <tableColumn name="FECHA DE ENTREGA" id="9"/>
    <tableColumn name="PRIORIDAD" id="10"/>
    <tableColumn name="STATUS" id="11"/>
    <tableColumn name="PRUEBA _x000a_(COMO SE VERIFICA)" id="12"/>
    <tableColumn name="COMENTARIOS" id="13"/>
    <tableColumn name="NOMBRE DE HISTORIA " id="14"/>
  </tableColumns>
  <tableStyleInfo name="Formato descripción H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10.88"/>
    <col customWidth="1" min="3" max="4" width="20.63"/>
    <col customWidth="1" min="5" max="5" width="20.5"/>
    <col customWidth="1" min="6" max="6" width="15.0"/>
    <col customWidth="1" min="7" max="7" width="32.5"/>
    <col customWidth="1" min="8" max="8" width="15.13"/>
    <col customWidth="1" min="9" max="9" width="14.63"/>
    <col customWidth="1" min="10" max="10" width="14.38"/>
    <col customWidth="1" min="11" max="11" width="14.0"/>
    <col customWidth="1" min="12" max="12" width="13.38"/>
    <col customWidth="1" min="13" max="13" width="39.25"/>
    <col customWidth="1" min="14" max="15" width="20.63"/>
    <col customWidth="1" min="16" max="25" width="9.38"/>
  </cols>
  <sheetData>
    <row r="1">
      <c r="I1" s="1"/>
      <c r="J1" s="1"/>
      <c r="K1" s="2"/>
      <c r="L1" s="3"/>
      <c r="M1" s="4"/>
    </row>
    <row r="2">
      <c r="I2" s="1"/>
      <c r="J2" s="1"/>
      <c r="K2" s="2"/>
      <c r="L2" s="3"/>
      <c r="M2" s="4"/>
    </row>
    <row r="3" ht="45.0" customHeight="1">
      <c r="B3" s="5" t="s">
        <v>0</v>
      </c>
    </row>
    <row r="4">
      <c r="H4" s="6"/>
      <c r="I4" s="1"/>
      <c r="J4" s="1"/>
      <c r="K4" s="2"/>
      <c r="L4" s="3"/>
      <c r="M4" s="4"/>
    </row>
    <row r="5" ht="51.75" customHeight="1">
      <c r="B5" s="7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9" t="s">
        <v>12</v>
      </c>
      <c r="N5" s="8" t="s">
        <v>13</v>
      </c>
      <c r="O5" s="10" t="s">
        <v>14</v>
      </c>
    </row>
    <row r="6" ht="56.25" customHeight="1">
      <c r="B6" s="11" t="s">
        <v>15</v>
      </c>
      <c r="C6" s="11" t="s">
        <v>16</v>
      </c>
      <c r="D6" s="11" t="s">
        <v>17</v>
      </c>
      <c r="E6" s="11" t="s">
        <v>18</v>
      </c>
      <c r="F6" s="11" t="s">
        <v>19</v>
      </c>
      <c r="G6" s="11" t="s">
        <v>20</v>
      </c>
      <c r="H6" s="12" t="s">
        <v>21</v>
      </c>
      <c r="I6" s="11" t="s">
        <v>22</v>
      </c>
      <c r="J6" s="13">
        <v>45849.0</v>
      </c>
      <c r="K6" s="14" t="s">
        <v>23</v>
      </c>
      <c r="L6" s="14" t="s">
        <v>24</v>
      </c>
      <c r="M6" s="15" t="s">
        <v>25</v>
      </c>
      <c r="N6" s="16"/>
      <c r="O6" s="11" t="s">
        <v>26</v>
      </c>
    </row>
    <row r="7">
      <c r="B7" s="17" t="s">
        <v>27</v>
      </c>
      <c r="C7" s="11" t="s">
        <v>28</v>
      </c>
      <c r="D7" s="11" t="s">
        <v>29</v>
      </c>
      <c r="E7" s="11" t="s">
        <v>30</v>
      </c>
      <c r="F7" s="11" t="s">
        <v>19</v>
      </c>
      <c r="G7" s="11" t="s">
        <v>31</v>
      </c>
      <c r="H7" s="12" t="s">
        <v>21</v>
      </c>
      <c r="I7" s="11" t="s">
        <v>32</v>
      </c>
      <c r="J7" s="18">
        <v>45852.0</v>
      </c>
      <c r="K7" s="19" t="s">
        <v>23</v>
      </c>
      <c r="L7" s="14" t="s">
        <v>24</v>
      </c>
      <c r="M7" s="15" t="s">
        <v>33</v>
      </c>
      <c r="N7" s="16"/>
      <c r="O7" s="11" t="s">
        <v>34</v>
      </c>
    </row>
    <row r="8" ht="62.25" customHeight="1">
      <c r="B8" s="17" t="s">
        <v>35</v>
      </c>
      <c r="C8" s="11" t="s">
        <v>36</v>
      </c>
      <c r="D8" s="11" t="s">
        <v>37</v>
      </c>
      <c r="E8" s="11" t="s">
        <v>38</v>
      </c>
      <c r="F8" s="11" t="s">
        <v>19</v>
      </c>
      <c r="G8" s="11" t="s">
        <v>39</v>
      </c>
      <c r="H8" s="12" t="s">
        <v>21</v>
      </c>
      <c r="I8" s="11" t="s">
        <v>22</v>
      </c>
      <c r="J8" s="18">
        <v>45854.0</v>
      </c>
      <c r="K8" s="19" t="s">
        <v>23</v>
      </c>
      <c r="L8" s="14" t="s">
        <v>24</v>
      </c>
      <c r="M8" s="15" t="s">
        <v>40</v>
      </c>
      <c r="N8" s="16"/>
      <c r="O8" s="11" t="s">
        <v>41</v>
      </c>
    </row>
    <row r="9" ht="87.0" customHeight="1">
      <c r="B9" s="17" t="s">
        <v>42</v>
      </c>
      <c r="C9" s="11" t="s">
        <v>43</v>
      </c>
      <c r="D9" s="11" t="s">
        <v>44</v>
      </c>
      <c r="E9" s="11" t="s">
        <v>45</v>
      </c>
      <c r="F9" s="11" t="s">
        <v>19</v>
      </c>
      <c r="G9" s="11" t="s">
        <v>46</v>
      </c>
      <c r="H9" s="11" t="s">
        <v>47</v>
      </c>
      <c r="I9" s="11" t="s">
        <v>32</v>
      </c>
      <c r="J9" s="18">
        <v>45859.0</v>
      </c>
      <c r="K9" s="14" t="s">
        <v>48</v>
      </c>
      <c r="L9" s="14" t="s">
        <v>24</v>
      </c>
      <c r="M9" s="20" t="s">
        <v>49</v>
      </c>
      <c r="N9" s="12"/>
      <c r="O9" s="11" t="s">
        <v>50</v>
      </c>
    </row>
    <row r="10" ht="69.0" customHeight="1">
      <c r="B10" s="17" t="s">
        <v>51</v>
      </c>
      <c r="C10" s="11" t="s">
        <v>52</v>
      </c>
      <c r="D10" s="11" t="s">
        <v>53</v>
      </c>
      <c r="E10" s="11" t="s">
        <v>54</v>
      </c>
      <c r="F10" s="11" t="s">
        <v>19</v>
      </c>
      <c r="G10" s="21" t="s">
        <v>55</v>
      </c>
      <c r="H10" s="12" t="s">
        <v>56</v>
      </c>
      <c r="I10" s="11" t="s">
        <v>57</v>
      </c>
      <c r="J10" s="18">
        <v>45856.0</v>
      </c>
      <c r="K10" s="19" t="s">
        <v>23</v>
      </c>
      <c r="L10" s="14" t="s">
        <v>24</v>
      </c>
      <c r="M10" s="15" t="s">
        <v>58</v>
      </c>
      <c r="N10" s="12"/>
      <c r="O10" s="11" t="s">
        <v>59</v>
      </c>
    </row>
    <row r="11" ht="63.0" customHeight="1">
      <c r="A11" s="22"/>
      <c r="B11" s="17" t="s">
        <v>60</v>
      </c>
      <c r="C11" s="11" t="s">
        <v>61</v>
      </c>
      <c r="D11" s="11" t="s">
        <v>62</v>
      </c>
      <c r="E11" s="11" t="s">
        <v>63</v>
      </c>
      <c r="F11" s="11" t="s">
        <v>19</v>
      </c>
      <c r="G11" s="11" t="s">
        <v>64</v>
      </c>
      <c r="H11" s="12" t="s">
        <v>47</v>
      </c>
      <c r="I11" s="11" t="s">
        <v>57</v>
      </c>
      <c r="J11" s="18">
        <v>45857.0</v>
      </c>
      <c r="K11" s="19" t="s">
        <v>23</v>
      </c>
      <c r="L11" s="14" t="s">
        <v>24</v>
      </c>
      <c r="M11" s="15" t="s">
        <v>65</v>
      </c>
      <c r="N11" s="12"/>
      <c r="O11" s="11" t="s">
        <v>66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ht="66.0" customHeight="1">
      <c r="B12" s="17" t="s">
        <v>67</v>
      </c>
      <c r="C12" s="11" t="s">
        <v>68</v>
      </c>
      <c r="D12" s="11" t="s">
        <v>69</v>
      </c>
      <c r="E12" s="11" t="s">
        <v>70</v>
      </c>
      <c r="F12" s="11" t="s">
        <v>19</v>
      </c>
      <c r="G12" s="11" t="s">
        <v>71</v>
      </c>
      <c r="H12" s="11" t="s">
        <v>72</v>
      </c>
      <c r="I12" s="11" t="s">
        <v>57</v>
      </c>
      <c r="J12" s="18">
        <v>45857.0</v>
      </c>
      <c r="K12" s="19" t="s">
        <v>48</v>
      </c>
      <c r="L12" s="14" t="s">
        <v>24</v>
      </c>
      <c r="M12" s="15" t="s">
        <v>73</v>
      </c>
      <c r="N12" s="23"/>
      <c r="O12" s="11" t="s">
        <v>74</v>
      </c>
    </row>
    <row r="13" ht="64.5" customHeight="1">
      <c r="B13" s="17" t="s">
        <v>75</v>
      </c>
      <c r="C13" s="11" t="s">
        <v>76</v>
      </c>
      <c r="D13" s="11" t="s">
        <v>77</v>
      </c>
      <c r="E13" s="11" t="s">
        <v>78</v>
      </c>
      <c r="F13" s="11" t="s">
        <v>19</v>
      </c>
      <c r="G13" s="11" t="s">
        <v>79</v>
      </c>
      <c r="H13" s="11" t="s">
        <v>80</v>
      </c>
      <c r="I13" s="11" t="s">
        <v>81</v>
      </c>
      <c r="J13" s="18">
        <v>45858.0</v>
      </c>
      <c r="K13" s="14" t="s">
        <v>82</v>
      </c>
      <c r="L13" s="14" t="s">
        <v>24</v>
      </c>
      <c r="M13" s="15" t="s">
        <v>83</v>
      </c>
      <c r="N13" s="12"/>
      <c r="O13" s="11" t="s">
        <v>84</v>
      </c>
    </row>
    <row r="14" ht="60.0" customHeight="1">
      <c r="B14" s="17" t="s">
        <v>85</v>
      </c>
      <c r="C14" s="11" t="s">
        <v>86</v>
      </c>
      <c r="D14" s="11" t="s">
        <v>87</v>
      </c>
      <c r="E14" s="11" t="s">
        <v>88</v>
      </c>
      <c r="F14" s="11" t="s">
        <v>19</v>
      </c>
      <c r="G14" s="11" t="s">
        <v>89</v>
      </c>
      <c r="H14" s="11" t="s">
        <v>56</v>
      </c>
      <c r="I14" s="11" t="s">
        <v>32</v>
      </c>
      <c r="J14" s="18">
        <v>45858.0</v>
      </c>
      <c r="K14" s="14" t="s">
        <v>82</v>
      </c>
      <c r="L14" s="14" t="s">
        <v>24</v>
      </c>
      <c r="M14" s="15" t="s">
        <v>90</v>
      </c>
      <c r="N14" s="12"/>
      <c r="O14" s="11" t="s">
        <v>91</v>
      </c>
    </row>
    <row r="15">
      <c r="B15" s="17" t="s">
        <v>92</v>
      </c>
      <c r="C15" s="11" t="s">
        <v>93</v>
      </c>
      <c r="D15" s="11" t="s">
        <v>94</v>
      </c>
      <c r="E15" s="11" t="s">
        <v>95</v>
      </c>
      <c r="F15" s="11" t="s">
        <v>19</v>
      </c>
      <c r="G15" s="11" t="s">
        <v>96</v>
      </c>
      <c r="H15" s="12" t="s">
        <v>97</v>
      </c>
      <c r="I15" s="11" t="s">
        <v>22</v>
      </c>
      <c r="J15" s="13">
        <v>45871.0</v>
      </c>
      <c r="K15" s="14" t="s">
        <v>82</v>
      </c>
      <c r="L15" s="14" t="s">
        <v>98</v>
      </c>
      <c r="M15" s="11" t="s">
        <v>99</v>
      </c>
      <c r="N15" s="16"/>
      <c r="O15" s="11" t="s">
        <v>100</v>
      </c>
    </row>
    <row r="16">
      <c r="B16" s="17" t="s">
        <v>101</v>
      </c>
      <c r="C16" s="11" t="s">
        <v>102</v>
      </c>
      <c r="D16" s="11" t="s">
        <v>103</v>
      </c>
      <c r="E16" s="11" t="s">
        <v>104</v>
      </c>
      <c r="F16" s="11" t="s">
        <v>19</v>
      </c>
      <c r="G16" s="11" t="s">
        <v>105</v>
      </c>
      <c r="H16" s="12" t="s">
        <v>47</v>
      </c>
      <c r="I16" s="11" t="s">
        <v>32</v>
      </c>
      <c r="J16" s="13">
        <v>45871.0</v>
      </c>
      <c r="K16" s="14" t="s">
        <v>82</v>
      </c>
      <c r="L16" s="14" t="s">
        <v>98</v>
      </c>
      <c r="M16" s="11" t="s">
        <v>99</v>
      </c>
      <c r="N16" s="16"/>
      <c r="O16" s="11" t="s">
        <v>106</v>
      </c>
    </row>
    <row r="17">
      <c r="B17" s="17" t="s">
        <v>107</v>
      </c>
      <c r="C17" s="12"/>
      <c r="D17" s="12"/>
      <c r="E17" s="12"/>
      <c r="F17" s="12"/>
      <c r="G17" s="12"/>
      <c r="H17" s="12"/>
      <c r="I17" s="12"/>
      <c r="J17" s="16"/>
      <c r="K17" s="24"/>
      <c r="L17" s="19"/>
      <c r="M17" s="12"/>
      <c r="N17" s="16"/>
      <c r="O17" s="12"/>
    </row>
    <row r="18">
      <c r="B18" s="17" t="s">
        <v>108</v>
      </c>
      <c r="C18" s="12"/>
      <c r="D18" s="12"/>
      <c r="E18" s="12"/>
      <c r="F18" s="12"/>
      <c r="G18" s="12"/>
      <c r="H18" s="12"/>
      <c r="I18" s="12"/>
      <c r="J18" s="16"/>
      <c r="K18" s="24"/>
      <c r="L18" s="19"/>
      <c r="M18" s="12"/>
      <c r="N18" s="16"/>
      <c r="O18" s="12"/>
    </row>
    <row r="21">
      <c r="K21" s="25" t="s">
        <v>23</v>
      </c>
      <c r="L21" s="26" t="s">
        <v>109</v>
      </c>
    </row>
    <row r="22">
      <c r="K22" s="25" t="s">
        <v>82</v>
      </c>
      <c r="L22" s="26" t="s">
        <v>98</v>
      </c>
    </row>
    <row r="23">
      <c r="K23" s="25" t="s">
        <v>110</v>
      </c>
      <c r="L23" s="26" t="s">
        <v>24</v>
      </c>
    </row>
  </sheetData>
  <mergeCells count="1">
    <mergeCell ref="B3:O3"/>
  </mergeCells>
  <dataValidations>
    <dataValidation type="list" allowBlank="1" sqref="L6:L18">
      <formula1>#REF!</formula1>
    </dataValidation>
    <dataValidation type="list" allowBlank="1" sqref="K6:K18">
      <formula1>#REF!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3" width="10.63"/>
    <col customWidth="1" min="4" max="4" width="11.75"/>
    <col customWidth="1" min="5" max="5" width="15.13"/>
    <col customWidth="1" min="6" max="15" width="10.63"/>
    <col customWidth="1" min="16" max="16" width="2.63"/>
  </cols>
  <sheetData>
    <row r="2" ht="15.0" hidden="1" customHeight="1"/>
    <row r="3" ht="15.0" hidden="1" customHeight="1"/>
    <row r="4" hidden="1">
      <c r="C4" s="27"/>
      <c r="D4" s="27"/>
      <c r="E4" s="27"/>
      <c r="F4" s="6"/>
    </row>
    <row r="5" hidden="1">
      <c r="C5" s="27"/>
      <c r="D5" s="27"/>
      <c r="E5" s="27"/>
      <c r="F5" s="6"/>
    </row>
    <row r="6" ht="39.75" customHeight="1">
      <c r="A6" s="28"/>
      <c r="B6" s="29" t="s">
        <v>111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1"/>
    </row>
    <row r="7" ht="9.75" customHeight="1">
      <c r="A7" s="28"/>
      <c r="B7" s="28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28"/>
    </row>
    <row r="8" ht="9.75" customHeight="1">
      <c r="A8" s="28"/>
      <c r="B8" s="33"/>
      <c r="C8" s="34"/>
      <c r="D8" s="34"/>
      <c r="E8" s="34"/>
      <c r="F8" s="35"/>
      <c r="G8" s="36"/>
      <c r="H8" s="36"/>
      <c r="I8" s="36"/>
      <c r="J8" s="36"/>
      <c r="K8" s="36"/>
      <c r="L8" s="36"/>
      <c r="M8" s="36"/>
      <c r="N8" s="36"/>
      <c r="O8" s="36"/>
      <c r="P8" s="37"/>
    </row>
    <row r="9" ht="30.0" customHeight="1">
      <c r="A9" s="28"/>
      <c r="B9" s="38"/>
      <c r="C9" s="39" t="s">
        <v>1</v>
      </c>
      <c r="D9" s="40"/>
      <c r="E9" s="41" t="s">
        <v>112</v>
      </c>
      <c r="F9" s="31"/>
      <c r="G9" s="40"/>
      <c r="H9" s="41" t="s">
        <v>11</v>
      </c>
      <c r="I9" s="31"/>
      <c r="J9" s="42"/>
      <c r="K9" s="42"/>
      <c r="L9" s="42"/>
      <c r="M9" s="42"/>
      <c r="N9" s="42"/>
      <c r="O9" s="42"/>
      <c r="P9" s="43"/>
    </row>
    <row r="10" ht="30.0" customHeight="1">
      <c r="A10" s="28"/>
      <c r="B10" s="38"/>
      <c r="C10" s="44" t="s">
        <v>92</v>
      </c>
      <c r="D10" s="45"/>
      <c r="E10" s="46" t="str">
        <f>VLOOKUP(C10,'Formato descripción HU'!B6:O24,5,0)</f>
        <v>Sr. Luis Azoguez</v>
      </c>
      <c r="F10" s="31"/>
      <c r="G10" s="47"/>
      <c r="H10" s="46" t="str">
        <f>VLOOKUP(C10,'Formato descripción HU'!B6:O24,11,0)</f>
        <v>En proceso</v>
      </c>
      <c r="I10" s="31"/>
      <c r="J10" s="47"/>
      <c r="K10" s="42"/>
      <c r="L10" s="42"/>
      <c r="M10" s="42"/>
      <c r="N10" s="42"/>
      <c r="O10" s="42"/>
      <c r="P10" s="43"/>
    </row>
    <row r="11" ht="9.75" customHeight="1">
      <c r="A11" s="28"/>
      <c r="B11" s="38"/>
      <c r="C11" s="48"/>
      <c r="D11" s="45"/>
      <c r="E11" s="47"/>
      <c r="F11" s="47"/>
      <c r="G11" s="47"/>
      <c r="H11" s="47"/>
      <c r="I11" s="47"/>
      <c r="J11" s="47"/>
      <c r="K11" s="47"/>
      <c r="L11" s="47"/>
      <c r="M11" s="42"/>
      <c r="N11" s="47"/>
      <c r="O11" s="47"/>
      <c r="P11" s="43"/>
    </row>
    <row r="12" ht="30.0" customHeight="1">
      <c r="A12" s="28"/>
      <c r="B12" s="38"/>
      <c r="C12" s="39" t="s">
        <v>113</v>
      </c>
      <c r="D12" s="45"/>
      <c r="E12" s="41" t="s">
        <v>10</v>
      </c>
      <c r="F12" s="31"/>
      <c r="G12" s="47"/>
      <c r="H12" s="41" t="s">
        <v>114</v>
      </c>
      <c r="I12" s="31"/>
      <c r="J12" s="47"/>
      <c r="K12" s="47"/>
      <c r="L12" s="47"/>
      <c r="M12" s="42"/>
      <c r="N12" s="47"/>
      <c r="O12" s="47"/>
      <c r="P12" s="43"/>
    </row>
    <row r="13" ht="30.0" customHeight="1">
      <c r="A13" s="28"/>
      <c r="B13" s="38"/>
      <c r="C13" s="49" t="str">
        <f>VLOOKUP('Historia de Usuario'!C10,'Formato descripción HU'!B6:O24,8,0)</f>
        <v>2h</v>
      </c>
      <c r="D13" s="45"/>
      <c r="E13" s="46" t="str">
        <f>VLOOKUP(C10,'Formato descripción HU'!B6:O24,10,0)</f>
        <v>Media</v>
      </c>
      <c r="F13" s="31"/>
      <c r="G13" s="47"/>
      <c r="H13" s="50" t="str">
        <f>VLOOKUP(C10,'Formato descripción HU'!B6:O24,7,0)</f>
        <v>Alan Nero Adriana Astudillo           </v>
      </c>
      <c r="I13" s="31"/>
      <c r="J13" s="47"/>
      <c r="K13" s="47"/>
      <c r="L13" s="47"/>
      <c r="M13" s="42"/>
      <c r="N13" s="47"/>
      <c r="O13" s="47"/>
      <c r="P13" s="43"/>
    </row>
    <row r="14" ht="9.75" customHeight="1">
      <c r="A14" s="28"/>
      <c r="B14" s="38"/>
      <c r="C14" s="42"/>
      <c r="D14" s="45"/>
      <c r="E14" s="42"/>
      <c r="F14" s="42"/>
      <c r="G14" s="47"/>
      <c r="H14" s="47"/>
      <c r="I14" s="42"/>
      <c r="J14" s="42"/>
      <c r="K14" s="42"/>
      <c r="L14" s="42"/>
      <c r="M14" s="42"/>
      <c r="N14" s="42"/>
      <c r="O14" s="42"/>
      <c r="P14" s="43"/>
    </row>
    <row r="15" ht="19.5" customHeight="1">
      <c r="A15" s="28"/>
      <c r="B15" s="38"/>
      <c r="C15" s="51" t="s">
        <v>115</v>
      </c>
      <c r="D15" s="52" t="str">
        <f>VLOOKUP(C10,'Formato descripción HU'!B6:O24,3,0)</f>
        <v>El programa deberá filtrar los productos activos vigentes. </v>
      </c>
      <c r="E15" s="53"/>
      <c r="F15" s="42"/>
      <c r="G15" s="51" t="s">
        <v>116</v>
      </c>
      <c r="H15" s="52" t="str">
        <f>VLOOKUP(C10,'Formato descripción HU'!B6:O24,4,0)</f>
        <v>Para conocer los productos que no se venden en el local.</v>
      </c>
      <c r="I15" s="54"/>
      <c r="J15" s="53"/>
      <c r="K15" s="42"/>
      <c r="L15" s="51" t="s">
        <v>117</v>
      </c>
      <c r="M15" s="52" t="str">
        <f>VLOOKUP(C10,'Formato descripción HU'!B6:O24,6,0)</f>
        <v>Permitir visualizar a base de un filtrado de todos los productos existentes.</v>
      </c>
      <c r="N15" s="54"/>
      <c r="O15" s="53"/>
      <c r="P15" s="43"/>
    </row>
    <row r="16" ht="19.5" customHeight="1">
      <c r="A16" s="28"/>
      <c r="B16" s="38"/>
      <c r="C16" s="55"/>
      <c r="D16" s="56"/>
      <c r="E16" s="57"/>
      <c r="F16" s="42"/>
      <c r="G16" s="55"/>
      <c r="H16" s="56"/>
      <c r="J16" s="57"/>
      <c r="K16" s="42"/>
      <c r="L16" s="55"/>
      <c r="M16" s="56"/>
      <c r="O16" s="57"/>
      <c r="P16" s="43"/>
    </row>
    <row r="17" ht="31.5" customHeight="1">
      <c r="A17" s="28"/>
      <c r="B17" s="38"/>
      <c r="C17" s="58"/>
      <c r="D17" s="59"/>
      <c r="E17" s="60"/>
      <c r="F17" s="42"/>
      <c r="G17" s="58"/>
      <c r="H17" s="59"/>
      <c r="I17" s="61"/>
      <c r="J17" s="60"/>
      <c r="K17" s="42"/>
      <c r="L17" s="58"/>
      <c r="M17" s="59"/>
      <c r="N17" s="61"/>
      <c r="O17" s="60"/>
      <c r="P17" s="43"/>
    </row>
    <row r="18" ht="9.75" customHeight="1">
      <c r="A18" s="28"/>
      <c r="B18" s="38"/>
      <c r="C18" s="42"/>
      <c r="D18" s="42"/>
      <c r="E18" s="42"/>
      <c r="F18" s="42"/>
      <c r="G18" s="47"/>
      <c r="H18" s="47"/>
      <c r="I18" s="47"/>
      <c r="J18" s="42"/>
      <c r="K18" s="42"/>
      <c r="L18" s="42"/>
      <c r="M18" s="42"/>
      <c r="N18" s="42"/>
      <c r="O18" s="42"/>
      <c r="P18" s="43"/>
    </row>
    <row r="19" ht="19.5" customHeight="1">
      <c r="A19" s="28"/>
      <c r="B19" s="38"/>
      <c r="C19" s="62" t="s">
        <v>118</v>
      </c>
      <c r="D19" s="53"/>
      <c r="E19" s="63" t="str">
        <f>VLOOKUP(C10,'Formato descripción HU'!B6:O24,14,0)</f>
        <v>Filtrado de Productos activos e inactivos</v>
      </c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43"/>
    </row>
    <row r="20" ht="19.5" customHeight="1">
      <c r="A20" s="28"/>
      <c r="B20" s="38"/>
      <c r="C20" s="59"/>
      <c r="D20" s="60"/>
      <c r="E20" s="66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43"/>
    </row>
    <row r="21" ht="9.75" customHeight="1">
      <c r="A21" s="28"/>
      <c r="B21" s="38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3"/>
    </row>
    <row r="22" ht="19.5" customHeight="1">
      <c r="A22" s="28"/>
      <c r="B22" s="38"/>
      <c r="C22" s="69" t="s">
        <v>119</v>
      </c>
      <c r="D22" s="53"/>
      <c r="E22" s="52" t="str">
        <f>VLOOKUP(C10,'Formato descripción HU'!B6:O24,12,0)</f>
        <v>Caja negra: 
Caja blanca: </v>
      </c>
      <c r="F22" s="54"/>
      <c r="G22" s="54"/>
      <c r="H22" s="53"/>
      <c r="I22" s="42"/>
      <c r="J22" s="69" t="s">
        <v>13</v>
      </c>
      <c r="K22" s="53"/>
      <c r="L22" s="70" t="str">
        <f>VLOOKUP(C10,'Formato descripción HU'!B6:O24,13,0)</f>
        <v/>
      </c>
      <c r="M22" s="54"/>
      <c r="N22" s="54"/>
      <c r="O22" s="53"/>
      <c r="P22" s="43"/>
    </row>
    <row r="23" ht="19.5" customHeight="1">
      <c r="A23" s="28"/>
      <c r="B23" s="38"/>
      <c r="C23" s="56"/>
      <c r="D23" s="57"/>
      <c r="E23" s="56"/>
      <c r="H23" s="57"/>
      <c r="I23" s="42"/>
      <c r="J23" s="56"/>
      <c r="K23" s="57"/>
      <c r="L23" s="56"/>
      <c r="O23" s="57"/>
      <c r="P23" s="43"/>
    </row>
    <row r="24" ht="36.0" customHeight="1">
      <c r="A24" s="28"/>
      <c r="B24" s="38"/>
      <c r="C24" s="59"/>
      <c r="D24" s="60"/>
      <c r="E24" s="59"/>
      <c r="F24" s="61"/>
      <c r="G24" s="61"/>
      <c r="H24" s="60"/>
      <c r="I24" s="42"/>
      <c r="J24" s="59"/>
      <c r="K24" s="60"/>
      <c r="L24" s="59"/>
      <c r="M24" s="61"/>
      <c r="N24" s="61"/>
      <c r="O24" s="60"/>
      <c r="P24" s="43"/>
    </row>
    <row r="25" ht="15.75" customHeight="1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3"/>
    </row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4" priority="1" operator="equal">
      <formula>"Atrasado"</formula>
    </cfRule>
  </conditionalFormatting>
  <conditionalFormatting sqref="H10:I11">
    <cfRule type="cellIs" dxfId="5" priority="2" operator="equal">
      <formula>"Terminado"</formula>
    </cfRule>
  </conditionalFormatting>
  <conditionalFormatting sqref="H10:I11">
    <cfRule type="cellIs" dxfId="6" priority="3" operator="equal">
      <formula>"En proceso"</formula>
    </cfRule>
  </conditionalFormatting>
  <conditionalFormatting sqref="H10:I11">
    <cfRule type="cellIs" dxfId="7" priority="4" operator="equal">
      <formula>"No Iniciado"</formula>
    </cfRule>
  </conditionalFormatting>
  <dataValidations>
    <dataValidation type="list" allowBlank="1" showErrorMessage="1" sqref="C10">
      <formula1>'Formato descripción HU'!$B$6:$B$24</formula1>
    </dataValidation>
    <dataValidation type="list" allowBlank="1" showErrorMessage="1" sqref="C11">
      <formula1>'Formato descripción HU'!$B$6:$B$18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